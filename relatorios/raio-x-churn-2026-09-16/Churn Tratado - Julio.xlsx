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ulio.santos\Desktop\"/>
    </mc:Choice>
  </mc:AlternateContent>
  <xr:revisionPtr revIDLastSave="0" documentId="13_ncr:1_{861B9C7F-0BB7-4491-A60E-64126B2BF558}" xr6:coauthVersionLast="47" xr6:coauthVersionMax="47" xr10:uidLastSave="{00000000-0000-0000-0000-000000000000}"/>
  <bookViews>
    <workbookView xWindow="-20610" yWindow="8460" windowWidth="20730" windowHeight="11040" tabRatio="500" xr2:uid="{00000000-000D-0000-FFFF-FFFF00000000}"/>
  </bookViews>
  <sheets>
    <sheet name="Consolidado" sheetId="1" r:id="rId1"/>
    <sheet name="Analises" sheetId="2" r:id="rId2"/>
    <sheet name="Base_Tratada" sheetId="3" r:id="rId3"/>
    <sheet name="Dados_Origem" sheetId="4" r:id="rId4"/>
  </sheets>
  <definedNames>
    <definedName name="_xlnm._FilterDatabase" localSheetId="2" hidden="1">Base_Tratada!$A$4:$K$93</definedName>
    <definedName name="_xlnm._FilterDatabase" localSheetId="0" hidden="1">Consolidado!$A$4:$O$67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1" i="4" l="1"/>
  <c r="H11" i="4"/>
  <c r="G11" i="4"/>
  <c r="F11" i="4"/>
  <c r="E11" i="4"/>
  <c r="D11" i="4"/>
  <c r="C11" i="4"/>
  <c r="B11" i="4"/>
  <c r="I87" i="2"/>
  <c r="I86" i="2"/>
  <c r="G86" i="2"/>
  <c r="F86" i="2"/>
  <c r="E86" i="2"/>
  <c r="D86" i="2"/>
  <c r="C86" i="2"/>
  <c r="B86" i="2"/>
  <c r="H86" i="2" s="1"/>
  <c r="I85" i="2"/>
  <c r="G85" i="2"/>
  <c r="F85" i="2"/>
  <c r="E85" i="2"/>
  <c r="D85" i="2"/>
  <c r="C85" i="2"/>
  <c r="B85" i="2"/>
  <c r="H85" i="2" s="1"/>
  <c r="I84" i="2"/>
  <c r="G84" i="2"/>
  <c r="F84" i="2"/>
  <c r="E84" i="2"/>
  <c r="D84" i="2"/>
  <c r="C84" i="2"/>
  <c r="B84" i="2"/>
  <c r="H84" i="2" s="1"/>
  <c r="I83" i="2"/>
  <c r="G83" i="2"/>
  <c r="F83" i="2"/>
  <c r="E83" i="2"/>
  <c r="D83" i="2"/>
  <c r="C83" i="2"/>
  <c r="B83" i="2"/>
  <c r="H83" i="2" s="1"/>
  <c r="I82" i="2"/>
  <c r="G82" i="2"/>
  <c r="F82" i="2"/>
  <c r="E82" i="2"/>
  <c r="D82" i="2"/>
  <c r="C82" i="2"/>
  <c r="B82" i="2"/>
  <c r="H82" i="2" s="1"/>
  <c r="I81" i="2"/>
  <c r="G81" i="2"/>
  <c r="G87" i="2" s="1"/>
  <c r="F81" i="2"/>
  <c r="F87" i="2" s="1"/>
  <c r="E81" i="2"/>
  <c r="E87" i="2" s="1"/>
  <c r="D81" i="2"/>
  <c r="D87" i="2" s="1"/>
  <c r="C81" i="2"/>
  <c r="C87" i="2" s="1"/>
  <c r="B81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I57" i="2"/>
  <c r="G56" i="2"/>
  <c r="F56" i="2"/>
  <c r="E56" i="2"/>
  <c r="D56" i="2"/>
  <c r="C56" i="2"/>
  <c r="B56" i="2"/>
  <c r="H56" i="2" s="1"/>
  <c r="J56" i="2" s="1"/>
  <c r="G55" i="2"/>
  <c r="F55" i="2"/>
  <c r="E55" i="2"/>
  <c r="D55" i="2"/>
  <c r="C55" i="2"/>
  <c r="B55" i="2"/>
  <c r="H55" i="2" s="1"/>
  <c r="J55" i="2" s="1"/>
  <c r="G54" i="2"/>
  <c r="F54" i="2"/>
  <c r="E54" i="2"/>
  <c r="D54" i="2"/>
  <c r="C54" i="2"/>
  <c r="B54" i="2"/>
  <c r="H54" i="2" s="1"/>
  <c r="J54" i="2" s="1"/>
  <c r="G53" i="2"/>
  <c r="F53" i="2"/>
  <c r="E53" i="2"/>
  <c r="D53" i="2"/>
  <c r="C53" i="2"/>
  <c r="B53" i="2"/>
  <c r="H53" i="2" s="1"/>
  <c r="J53" i="2" s="1"/>
  <c r="G52" i="2"/>
  <c r="F52" i="2"/>
  <c r="E52" i="2"/>
  <c r="D52" i="2"/>
  <c r="C52" i="2"/>
  <c r="B52" i="2"/>
  <c r="H52" i="2" s="1"/>
  <c r="J52" i="2" s="1"/>
  <c r="G51" i="2"/>
  <c r="G57" i="2" s="1"/>
  <c r="F51" i="2"/>
  <c r="F57" i="2" s="1"/>
  <c r="E51" i="2"/>
  <c r="E57" i="2" s="1"/>
  <c r="D51" i="2"/>
  <c r="D57" i="2" s="1"/>
  <c r="C51" i="2"/>
  <c r="C57" i="2" s="1"/>
  <c r="B51" i="2"/>
  <c r="G46" i="2"/>
  <c r="F46" i="2"/>
  <c r="E46" i="2"/>
  <c r="D46" i="2"/>
  <c r="C46" i="2"/>
  <c r="B46" i="2"/>
  <c r="H46" i="2" s="1"/>
  <c r="G45" i="2"/>
  <c r="F45" i="2"/>
  <c r="E45" i="2"/>
  <c r="D45" i="2"/>
  <c r="C45" i="2"/>
  <c r="B45" i="2"/>
  <c r="H45" i="2" s="1"/>
  <c r="G44" i="2"/>
  <c r="F44" i="2"/>
  <c r="E44" i="2"/>
  <c r="D44" i="2"/>
  <c r="C44" i="2"/>
  <c r="B44" i="2"/>
  <c r="H44" i="2" s="1"/>
  <c r="G43" i="2"/>
  <c r="F43" i="2"/>
  <c r="E43" i="2"/>
  <c r="D43" i="2"/>
  <c r="C43" i="2"/>
  <c r="B43" i="2"/>
  <c r="H43" i="2" s="1"/>
  <c r="G42" i="2"/>
  <c r="F42" i="2"/>
  <c r="E42" i="2"/>
  <c r="D42" i="2"/>
  <c r="C42" i="2"/>
  <c r="B42" i="2"/>
  <c r="H42" i="2" s="1"/>
  <c r="G41" i="2"/>
  <c r="G47" i="2" s="1"/>
  <c r="F41" i="2"/>
  <c r="F47" i="2" s="1"/>
  <c r="E41" i="2"/>
  <c r="E47" i="2" s="1"/>
  <c r="D41" i="2"/>
  <c r="D47" i="2" s="1"/>
  <c r="C41" i="2"/>
  <c r="C47" i="2" s="1"/>
  <c r="B41" i="2"/>
  <c r="G37" i="2"/>
  <c r="F37" i="2"/>
  <c r="E37" i="2"/>
  <c r="D37" i="2"/>
  <c r="C37" i="2"/>
  <c r="B37" i="2"/>
  <c r="H37" i="2" s="1"/>
  <c r="G36" i="2"/>
  <c r="F36" i="2"/>
  <c r="E36" i="2"/>
  <c r="D36" i="2"/>
  <c r="C36" i="2"/>
  <c r="B36" i="2"/>
  <c r="H36" i="2" s="1"/>
  <c r="G35" i="2"/>
  <c r="F35" i="2"/>
  <c r="E35" i="2"/>
  <c r="D35" i="2"/>
  <c r="C35" i="2"/>
  <c r="B35" i="2"/>
  <c r="H35" i="2" s="1"/>
  <c r="G34" i="2"/>
  <c r="F34" i="2"/>
  <c r="E34" i="2"/>
  <c r="D34" i="2"/>
  <c r="C34" i="2"/>
  <c r="B34" i="2"/>
  <c r="H34" i="2" s="1"/>
  <c r="G33" i="2"/>
  <c r="F33" i="2"/>
  <c r="E33" i="2"/>
  <c r="D33" i="2"/>
  <c r="C33" i="2"/>
  <c r="B33" i="2"/>
  <c r="H33" i="2" s="1"/>
  <c r="G32" i="2"/>
  <c r="G38" i="2" s="1"/>
  <c r="F32" i="2"/>
  <c r="F38" i="2" s="1"/>
  <c r="E32" i="2"/>
  <c r="E38" i="2" s="1"/>
  <c r="D32" i="2"/>
  <c r="D38" i="2" s="1"/>
  <c r="C32" i="2"/>
  <c r="C38" i="2" s="1"/>
  <c r="B32" i="2"/>
  <c r="H26" i="2"/>
  <c r="G26" i="2"/>
  <c r="E26" i="2"/>
  <c r="C26" i="2"/>
  <c r="B26" i="2"/>
  <c r="D26" i="2" s="1"/>
  <c r="F26" i="2" s="1"/>
  <c r="H25" i="2"/>
  <c r="G25" i="2"/>
  <c r="E25" i="2"/>
  <c r="C25" i="2"/>
  <c r="B25" i="2"/>
  <c r="D25" i="2" s="1"/>
  <c r="F25" i="2" s="1"/>
  <c r="H24" i="2"/>
  <c r="G24" i="2"/>
  <c r="E24" i="2"/>
  <c r="C24" i="2"/>
  <c r="B24" i="2"/>
  <c r="D24" i="2" s="1"/>
  <c r="F24" i="2" s="1"/>
  <c r="H23" i="2"/>
  <c r="G23" i="2"/>
  <c r="E23" i="2"/>
  <c r="C23" i="2"/>
  <c r="B23" i="2"/>
  <c r="D23" i="2" s="1"/>
  <c r="F23" i="2" s="1"/>
  <c r="H22" i="2"/>
  <c r="G22" i="2"/>
  <c r="E22" i="2"/>
  <c r="C22" i="2"/>
  <c r="B22" i="2"/>
  <c r="D22" i="2" s="1"/>
  <c r="F22" i="2" s="1"/>
  <c r="H21" i="2"/>
  <c r="H27" i="2" s="1"/>
  <c r="G21" i="2"/>
  <c r="G27" i="2" s="1"/>
  <c r="E21" i="2"/>
  <c r="E27" i="2" s="1"/>
  <c r="C21" i="2"/>
  <c r="C27" i="2" s="1"/>
  <c r="B21" i="2"/>
  <c r="B16" i="2"/>
  <c r="B15" i="2"/>
  <c r="B11" i="2"/>
  <c r="B10" i="2"/>
  <c r="B9" i="2"/>
  <c r="B8" i="2"/>
  <c r="B7" i="2"/>
  <c r="B6" i="2"/>
  <c r="G67" i="1"/>
  <c r="H66" i="1"/>
  <c r="I66" i="1" s="1"/>
  <c r="H65" i="1"/>
  <c r="I65" i="1" s="1"/>
  <c r="H64" i="1"/>
  <c r="I64" i="1" s="1"/>
  <c r="H63" i="1"/>
  <c r="I63" i="1" s="1"/>
  <c r="H62" i="1"/>
  <c r="I62" i="1" s="1"/>
  <c r="H61" i="1"/>
  <c r="I61" i="1" s="1"/>
  <c r="H60" i="1"/>
  <c r="I60" i="1" s="1"/>
  <c r="H59" i="1"/>
  <c r="I59" i="1" s="1"/>
  <c r="H58" i="1"/>
  <c r="I58" i="1" s="1"/>
  <c r="H57" i="1"/>
  <c r="I57" i="1" s="1"/>
  <c r="H56" i="1"/>
  <c r="I56" i="1" s="1"/>
  <c r="H55" i="1"/>
  <c r="I55" i="1" s="1"/>
  <c r="H54" i="1"/>
  <c r="I54" i="1" s="1"/>
  <c r="H53" i="1"/>
  <c r="I53" i="1" s="1"/>
  <c r="H52" i="1"/>
  <c r="I52" i="1" s="1"/>
  <c r="H51" i="1"/>
  <c r="I51" i="1" s="1"/>
  <c r="H50" i="1"/>
  <c r="I50" i="1" s="1"/>
  <c r="H49" i="1"/>
  <c r="I49" i="1" s="1"/>
  <c r="H48" i="1"/>
  <c r="I48" i="1" s="1"/>
  <c r="H47" i="1"/>
  <c r="I47" i="1" s="1"/>
  <c r="H46" i="1"/>
  <c r="I46" i="1" s="1"/>
  <c r="H45" i="1"/>
  <c r="I45" i="1" s="1"/>
  <c r="H44" i="1"/>
  <c r="I44" i="1" s="1"/>
  <c r="H43" i="1"/>
  <c r="I43" i="1" s="1"/>
  <c r="H42" i="1"/>
  <c r="I42" i="1" s="1"/>
  <c r="H41" i="1"/>
  <c r="I41" i="1" s="1"/>
  <c r="H40" i="1"/>
  <c r="I40" i="1" s="1"/>
  <c r="H39" i="1"/>
  <c r="I39" i="1" s="1"/>
  <c r="H38" i="1"/>
  <c r="I38" i="1" s="1"/>
  <c r="H37" i="1"/>
  <c r="I37" i="1" s="1"/>
  <c r="H36" i="1"/>
  <c r="I36" i="1" s="1"/>
  <c r="H35" i="1"/>
  <c r="I35" i="1" s="1"/>
  <c r="H34" i="1"/>
  <c r="I34" i="1" s="1"/>
  <c r="H33" i="1"/>
  <c r="I33" i="1" s="1"/>
  <c r="H32" i="1"/>
  <c r="I32" i="1" s="1"/>
  <c r="H31" i="1"/>
  <c r="I31" i="1" s="1"/>
  <c r="H30" i="1"/>
  <c r="I30" i="1" s="1"/>
  <c r="H29" i="1"/>
  <c r="I29" i="1" s="1"/>
  <c r="H28" i="1"/>
  <c r="I28" i="1" s="1"/>
  <c r="H27" i="1"/>
  <c r="I27" i="1" s="1"/>
  <c r="H26" i="1"/>
  <c r="I26" i="1" s="1"/>
  <c r="H25" i="1"/>
  <c r="I25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H8" i="1"/>
  <c r="I8" i="1" s="1"/>
  <c r="H7" i="1"/>
  <c r="I7" i="1" s="1"/>
  <c r="H6" i="1"/>
  <c r="I6" i="1" s="1"/>
  <c r="H5" i="1"/>
  <c r="H67" i="1" l="1"/>
  <c r="I5" i="1"/>
  <c r="F76" i="2" s="1"/>
  <c r="B14" i="2"/>
  <c r="B12" i="2"/>
  <c r="B13" i="2" s="1"/>
  <c r="B27" i="2"/>
  <c r="D21" i="2"/>
  <c r="B38" i="2"/>
  <c r="H32" i="2"/>
  <c r="H38" i="2" s="1"/>
  <c r="B47" i="2"/>
  <c r="H41" i="2"/>
  <c r="H47" i="2" s="1"/>
  <c r="B57" i="2"/>
  <c r="H51" i="2"/>
  <c r="F75" i="2"/>
  <c r="F74" i="2"/>
  <c r="F70" i="2"/>
  <c r="F65" i="2"/>
  <c r="F64" i="2"/>
  <c r="F63" i="2"/>
  <c r="F62" i="2"/>
  <c r="B87" i="2"/>
  <c r="H81" i="2"/>
  <c r="H87" i="2" s="1"/>
  <c r="F66" i="2" l="1"/>
  <c r="F67" i="2"/>
  <c r="F68" i="2"/>
  <c r="F69" i="2"/>
  <c r="F71" i="2"/>
  <c r="F72" i="2"/>
  <c r="F73" i="2"/>
  <c r="H57" i="2"/>
  <c r="J57" i="2" s="1"/>
  <c r="J51" i="2"/>
  <c r="D27" i="2"/>
  <c r="F27" i="2" s="1"/>
  <c r="F21" i="2"/>
  <c r="B17" i="2"/>
  <c r="I67" i="1"/>
  <c r="J5" i="1" s="1"/>
  <c r="J6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N5" authorId="0" shapeId="0" xr:uid="{00000000-0006-0000-0000-000001000000}">
      <text>
        <r>
          <rPr>
            <sz val="10"/>
            <rFont val="Arial"/>
            <family val="2"/>
          </rPr>
          <t>Texto original (julho/2026):
Correto</t>
        </r>
      </text>
    </comment>
    <comment ref="N6" authorId="0" shapeId="0" xr:uid="{00000000-0006-0000-0000-000002000000}">
      <text>
        <r>
          <rPr>
            <sz val="10"/>
            <rFont val="Arial"/>
            <family val="2"/>
          </rPr>
          <t>Texto original (julho/2026):
Correto</t>
        </r>
      </text>
    </comment>
    <comment ref="N7" authorId="0" shapeId="0" xr:uid="{00000000-0006-0000-0000-000003000000}">
      <text>
        <r>
          <rPr>
            <sz val="10"/>
            <rFont val="Arial"/>
            <family val="2"/>
          </rPr>
          <t>Texto original (julho/2026):
Correto</t>
        </r>
      </text>
    </comment>
    <comment ref="O7" authorId="0" shapeId="0" xr:uid="{28AFE8EF-CB9E-4BA8-90E3-4546472231CB}">
      <text>
        <r>
          <rPr>
            <sz val="10"/>
            <rFont val="Arial"/>
            <family val="2"/>
          </rPr>
          <t>Texto original (julho/2026):
Correto</t>
        </r>
      </text>
    </comment>
    <comment ref="N8" authorId="0" shapeId="0" xr:uid="{00000000-0006-0000-0000-000004000000}">
      <text>
        <r>
          <rPr>
            <sz val="10"/>
            <rFont val="Arial"/>
            <family val="2"/>
          </rPr>
          <t>Texto original (julho/2026):
BPO Cancelado</t>
        </r>
      </text>
    </comment>
    <comment ref="O8" authorId="0" shapeId="0" xr:uid="{00000000-0006-0000-0000-00003D000000}">
      <text>
        <r>
          <rPr>
            <sz val="10"/>
            <rFont val="Arial"/>
            <family val="2"/>
          </rPr>
          <t>Origem: relatorio-churn-2026-08-20 (linha 18)
Cliente: LEONARDO LUIZ OSS
Produto: BPO FINANCEIRO | MMR 1355.74 | NPS 10
Motivo cliente: Outro — CLIENTE INFORMOU QUE A DECISÃO DE CANCELAMENTO É ESTRATÉGICA E ESTÁ LIGADA À INTENÇÃO DE INTERNALIZAR AS ATIVIDADES, CONCENTRANDO A GESTÃO E AS TRATATIVAS DENTRO DA PRÓPRIA FAZENDA
Motivo interno: Confirma o motivo pontuado pelo cliente
Migrou para: NÃO SE APLICA
Detalhe: Internalização das rotinas de BPO financeiro na própria fazenda; sem crítica ao serviço</t>
        </r>
      </text>
    </comment>
    <comment ref="N9" authorId="0" shapeId="0" xr:uid="{00000000-0006-0000-0000-000005000000}">
      <text>
        <r>
          <rPr>
            <sz val="10"/>
            <rFont val="Arial"/>
            <family val="2"/>
          </rPr>
          <t>Texto original (julho/2026):
Cancelamento parcial -  Falta de Integração com Outros Sistemas; Falta de Recursos no Produto; Mudanças nas Necessidades do Cliente; Problemas de Suporte ao Cliente</t>
        </r>
      </text>
    </comment>
    <comment ref="N10" authorId="0" shapeId="0" xr:uid="{00000000-0006-0000-0000-000006000000}">
      <text>
        <r>
          <rPr>
            <sz val="10"/>
            <rFont val="Arial"/>
            <family val="2"/>
          </rPr>
          <t>Texto original (julho/2026):
Cancelado - Problemas financeiros.</t>
        </r>
      </text>
    </comment>
    <comment ref="O10" authorId="0" shapeId="0" xr:uid="{00000000-0006-0000-0000-00003E000000}">
      <text>
        <r>
          <rPr>
            <sz val="10"/>
            <rFont val="Arial"/>
            <family val="2"/>
          </rPr>
          <t>Origem: relatorio-churn-2026-08-20 (linha 20)
Cliente: BRUNO SANCHES TORO
Produto: SIAGRI AGRIMANAGER, AGM | MMR 4010.69 | NPS 7
Motivo cliente: Falta de Personalização Solicitado pelo Cliente
Motivo interno: Outro
Migrou para: NÃO INFORMADO
Detalhe: Falta de personalização e cobrança adicional para antecipar melhoria; agravado por inadimplência</t>
        </r>
      </text>
    </comment>
    <comment ref="N11" authorId="0" shapeId="0" xr:uid="{00000000-0006-0000-0000-000007000000}">
      <text>
        <r>
          <rPr>
            <sz val="10"/>
            <rFont val="Arial"/>
            <family val="2"/>
          </rPr>
          <t>Texto original (julho/2026):
Cancelado - Utilizavam apenas para emissão de notas, tornando a operação inviável.</t>
        </r>
      </text>
    </comment>
    <comment ref="O11" authorId="0" shapeId="0" xr:uid="{1AFBC8D7-0F90-4977-BDC8-E9A584A0F5CA}">
      <text>
        <r>
          <rPr>
            <sz val="10"/>
            <rFont val="Arial"/>
            <family val="2"/>
          </rPr>
          <t>Origem: relatorio-churn-2026-08-20 (linha 7)
Cliente: PAULO RICARDO SANTIN
Produto: MYFARM | MMR 937.62 | NPS 0
Motivo cliente: Dificuldade de Uso
Motivo interno: Baixo uso do sistema por parte do cliente / Engajamento
Migrou para: NÃO INFORMADO
Detalhe: Cliente alegou dificuldade de uso; interno aponta baixo uso e engajamento</t>
        </r>
      </text>
    </comment>
    <comment ref="N12" authorId="0" shapeId="0" xr:uid="{00000000-0006-0000-0000-000008000000}">
      <text>
        <r>
          <rPr>
            <sz val="10"/>
            <rFont val="Arial"/>
            <family val="2"/>
          </rPr>
          <t>Texto original (julho/2026):
Migrou para o MyFarm (Primavera)</t>
        </r>
      </text>
    </comment>
    <comment ref="N13" authorId="0" shapeId="0" xr:uid="{00000000-0006-0000-0000-000009000000}">
      <text>
        <r>
          <rPr>
            <sz val="10"/>
            <rFont val="Arial"/>
            <family val="2"/>
          </rPr>
          <t>Texto original (julho/2026):
Cancelado - Sem acesso ao banco de dados.</t>
        </r>
      </text>
    </comment>
    <comment ref="O13" authorId="0" shapeId="0" xr:uid="{3E76BC5D-16F5-464A-8C2C-A316DB3604C8}">
      <text>
        <r>
          <rPr>
            <sz val="10"/>
            <rFont val="Arial"/>
            <family val="2"/>
          </rPr>
          <t>Origem: relatorio-churn-2026-08-20 (linha 20)
Cliente: BRUNO SANCHES TORO
Produto: SIAGRI AGRIMANAGER, AGM | MMR 4010.69 | NPS 7
Motivo cliente: Falta de Personalização Solicitado pelo Cliente
Motivo interno: Outro
Migrou para: NÃO INFORMADO
Detalhe: Falta de personalização e cobrança adicional para antecipar melhoria; agravado por inadimplência</t>
        </r>
      </text>
    </comment>
    <comment ref="N14" authorId="0" shapeId="0" xr:uid="{00000000-0006-0000-0000-00000A000000}">
      <text>
        <r>
          <rPr>
            <sz val="10"/>
            <rFont val="Arial"/>
            <family val="2"/>
          </rPr>
          <t>Texto original (julho/2026):
Cancelado - Não informado pelo cliente. No e-mail consta apenas:"solicito o cancelamento da assinatura do sistema My Farm, agradecemos a parceria até aqui".</t>
        </r>
      </text>
    </comment>
    <comment ref="N15" authorId="0" shapeId="0" xr:uid="{00000000-0006-0000-0000-00000B000000}">
      <text>
        <r>
          <rPr>
            <sz val="10"/>
            <rFont val="Arial"/>
            <family val="2"/>
          </rPr>
          <t>Texto original (julho/2026):
sim, tratado pelo cs distribuidor rural</t>
        </r>
      </text>
    </comment>
    <comment ref="N16" authorId="0" shapeId="0" xr:uid="{00000000-0006-0000-0000-00000C000000}">
      <text>
        <r>
          <rPr>
            <sz val="10"/>
            <rFont val="Arial"/>
            <family val="2"/>
          </rPr>
          <t>Texto original (julho/2026):
Cancelado - Sem mão de obra para lançar</t>
        </r>
      </text>
    </comment>
    <comment ref="O16" authorId="0" shapeId="0" xr:uid="{00000000-0006-0000-0000-00003F000000}">
      <text>
        <r>
          <rPr>
            <sz val="10"/>
            <rFont val="Arial"/>
            <family val="2"/>
          </rPr>
          <t>Origem: relatorio-churn-2026-08-20 (linha 12)
Cliente: OCTAVIANO RAYMUNDO CAMARGO SILVA IE:212.059.354.118
Produto: SIAGRI AGRIMANAGER | MMR 2150.61 | NPS 6
Motivo cliente: Dificuldade de Uso
Motivo interno: Falta de mão de obra / Equipe pequena
Migrou para: AEGRO
Detalhe: Equipe pequena sem capacidade de operar o ERP; migrou para Aegro</t>
        </r>
      </text>
    </comment>
    <comment ref="N17" authorId="0" shapeId="0" xr:uid="{00000000-0006-0000-0000-00000D000000}">
      <text>
        <r>
          <rPr>
            <sz val="10"/>
            <rFont val="Arial"/>
            <family val="2"/>
          </rPr>
          <t>Texto original (julho/2026):
Cancelado - Não localizado histórico de tratativas.</t>
        </r>
      </text>
    </comment>
    <comment ref="N18" authorId="0" shapeId="0" xr:uid="{00000000-0006-0000-0000-00000E000000}">
      <text>
        <r>
          <rPr>
            <sz val="10"/>
            <rFont val="Arial"/>
            <family val="2"/>
          </rPr>
          <t>Texto original (julho/2026):
Correto</t>
        </r>
      </text>
    </comment>
    <comment ref="N19" authorId="0" shapeId="0" xr:uid="{00000000-0006-0000-0000-00000F000000}">
      <text>
        <r>
          <rPr>
            <sz val="10"/>
            <rFont val="Arial"/>
            <family val="2"/>
          </rPr>
          <t>Texto original (julho/2026):
sim, tratado pelo cs</t>
        </r>
      </text>
    </comment>
    <comment ref="N20" authorId="0" shapeId="0" xr:uid="{00000000-0006-0000-0000-000010000000}">
      <text>
        <r>
          <rPr>
            <sz val="10"/>
            <rFont val="Arial"/>
            <family val="2"/>
          </rPr>
          <t>Texto original (julho/2026):
contrato tá ativo</t>
        </r>
      </text>
    </comment>
    <comment ref="N21" authorId="0" shapeId="0" xr:uid="{00000000-0006-0000-0000-000011000000}">
      <text>
        <r>
          <rPr>
            <sz val="10"/>
            <rFont val="Arial"/>
            <family val="2"/>
          </rPr>
          <t>Texto original (julho/2026):
Cancelado - Passaram ADM e financeiro para contabilidade.</t>
        </r>
      </text>
    </comment>
    <comment ref="O21" authorId="0" shapeId="0" xr:uid="{6DDECF01-682C-45E6-8703-947C670A0531}">
      <text>
        <r>
          <rPr>
            <sz val="10"/>
            <rFont val="Arial"/>
            <family val="2"/>
          </rPr>
          <t>Origem: relatorio-churn-2026-08-20 (linha 7)
Cliente: PAULO RICARDO SANTIN
Produto: MYFARM | MMR 937.62 | NPS 0
Motivo cliente: Dificuldade de Uso
Motivo interno: Baixo uso do sistema por parte do cliente / Engajamento
Migrou para: NÃO INFORMADO
Detalhe: Cliente alegou dificuldade de uso; interno aponta baixo uso e engajamento</t>
        </r>
      </text>
    </comment>
    <comment ref="N22" authorId="0" shapeId="0" xr:uid="{00000000-0006-0000-0000-000012000000}">
      <text>
        <r>
          <rPr>
            <sz val="10"/>
            <rFont val="Arial"/>
            <family val="2"/>
          </rPr>
          <t>Texto original (julho/2026):
Cancelado - Restrições financeiras.</t>
        </r>
      </text>
    </comment>
    <comment ref="N23" authorId="0" shapeId="0" xr:uid="{00000000-0006-0000-0000-000013000000}">
      <text>
        <r>
          <rPr>
            <sz val="10"/>
            <rFont val="Arial"/>
            <family val="2"/>
          </rPr>
          <t>Texto original (julho/2026):
Cancelado - Problemas financeiros.</t>
        </r>
      </text>
    </comment>
    <comment ref="O23" authorId="0" shapeId="0" xr:uid="{00000000-0006-0000-0000-000040000000}">
      <text>
        <r>
          <rPr>
            <sz val="10"/>
            <rFont val="Arial"/>
            <family val="2"/>
          </rPr>
          <t>Origem: relatorio-churn-2026-08-20 (linha 20)
Cliente: BRUNO SANCHES TORO
Produto: SIAGRI AGRIMANAGER, AGM | MMR 4010.69 | NPS 7
Motivo cliente: Falta de Personalização Solicitado pelo Cliente
Motivo interno: Outro
Migrou para: NÃO INFORMADO
Detalhe: Falta de personalização e cobrança adicional para antecipar melhoria; agravado por inadimplência</t>
        </r>
      </text>
    </comment>
    <comment ref="N24" authorId="0" shapeId="0" xr:uid="{00000000-0006-0000-0000-000014000000}">
      <text>
        <r>
          <rPr>
            <sz val="10"/>
            <rFont val="Arial"/>
            <family val="2"/>
          </rPr>
          <t>Texto original (julho/2026):
CS não informado.</t>
        </r>
      </text>
    </comment>
    <comment ref="O24" authorId="0" shapeId="0" xr:uid="{9A0B9D2D-3632-4F85-AF0E-FB05AF2A3F8D}">
      <text>
        <r>
          <rPr>
            <sz val="10"/>
            <rFont val="Arial"/>
            <family val="2"/>
          </rPr>
          <t>Origem: relatorio-churn-2026-08-20 (linha 12)
Cliente: OCTAVIANO RAYMUNDO CAMARGO SILVA IE:212.059.354.118
Produto: SIAGRI AGRIMANAGER | MMR 2150.61 | NPS 6
Motivo cliente: Dificuldade de Uso
Motivo interno: Falta de mão de obra / Equipe pequena
Migrou para: AEGRO
Detalhe: Equipe pequena sem capacidade de operar o ERP; migrou para Aegro</t>
        </r>
      </text>
    </comment>
    <comment ref="N26" authorId="0" shapeId="0" xr:uid="{00000000-0006-0000-0000-000015000000}">
      <text>
        <r>
          <rPr>
            <sz val="10"/>
            <rFont val="Arial"/>
            <family val="2"/>
          </rPr>
          <t>Texto original (julho/2026):
Agropecuária Serrana - Acredito que estão apenas inadimplentes, não localizei tratativas de churn do BI.</t>
        </r>
      </text>
    </comment>
    <comment ref="N27" authorId="0" shapeId="0" xr:uid="{00000000-0006-0000-0000-000016000000}">
      <text>
        <r>
          <rPr>
            <sz val="10"/>
            <rFont val="Arial"/>
            <family val="2"/>
          </rPr>
          <t>Texto original (julho/2026):
Cancelado - Cliente pecuaria, MyFarm não atendeu</t>
        </r>
      </text>
    </comment>
    <comment ref="O27" authorId="0" shapeId="0" xr:uid="{00000000-0006-0000-0000-000041000000}">
      <text>
        <r>
          <rPr>
            <sz val="10"/>
            <rFont val="Arial"/>
            <family val="2"/>
          </rPr>
          <t>Origem: relatorio-churn-2026-08-20 (linha 19)
Cliente: MARIO PINTO DA SILVA
Produto: MYFARM | MMR 1327.99 | NPS 6
Motivo cliente: Falta de Funcionalidades Essenciais
Motivo interno: Confirma o motivo pontuado pelo cliente
Migrou para: KATRID
Detalhe: Produto não atendeu a operação de pecuária; migrou para Katrid</t>
        </r>
      </text>
    </comment>
    <comment ref="N28" authorId="0" shapeId="0" xr:uid="{00000000-0006-0000-0000-000017000000}">
      <text>
        <r>
          <rPr>
            <sz val="10"/>
            <rFont val="Arial"/>
            <family val="2"/>
          </rPr>
          <t>Texto original (julho/2026):
sim, tratado pelo cs</t>
        </r>
      </text>
    </comment>
    <comment ref="N29" authorId="0" shapeId="0" xr:uid="{00000000-0006-0000-0000-000018000000}">
      <text>
        <r>
          <rPr>
            <sz val="10"/>
            <rFont val="Arial"/>
            <family val="2"/>
          </rPr>
          <t>Texto original (julho/2026):
Cancelado - Sem mão de obra para lançar</t>
        </r>
      </text>
    </comment>
    <comment ref="O29" authorId="0" shapeId="0" xr:uid="{576C54BD-71D1-4B2F-A200-7DF7EAE17260}">
      <text>
        <r>
          <rPr>
            <sz val="10"/>
            <rFont val="Arial"/>
            <family val="2"/>
          </rPr>
          <t>Origem: relatorio-churn-2026-08-20 (linha 12)
Cliente: OCTAVIANO RAYMUNDO CAMARGO SILVA IE:212.059.354.118
Produto: SIAGRI AGRIMANAGER | MMR 2150.61 | NPS 6
Motivo cliente: Dificuldade de Uso
Motivo interno: Falta de mão de obra / Equipe pequena
Migrou para: AEGRO
Detalhe: Equipe pequena sem capacidade de operar o ERP; migrou para Aegro</t>
        </r>
      </text>
    </comment>
    <comment ref="N30" authorId="0" shapeId="0" xr:uid="{00000000-0006-0000-0000-000019000000}">
      <text>
        <r>
          <rPr>
            <sz val="10"/>
            <rFont val="Arial"/>
            <family val="2"/>
          </rPr>
          <t xml:space="preserve">Texto original (julho/2026):
Não passou pelo CS, </t>
        </r>
      </text>
    </comment>
    <comment ref="N31" authorId="0" shapeId="0" xr:uid="{142D9337-362F-4774-8640-8902A016F61F}">
      <text>
        <r>
          <rPr>
            <sz val="10"/>
            <rFont val="Arial"/>
            <family val="2"/>
          </rPr>
          <t>Texto original (julho/2026):
Cancelado - Sem mão de obra para lançar</t>
        </r>
      </text>
    </comment>
    <comment ref="O31" authorId="0" shapeId="0" xr:uid="{703E97DA-054B-4804-809D-5DA09DC29A0B}">
      <text>
        <r>
          <rPr>
            <sz val="10"/>
            <rFont val="Arial"/>
            <family val="2"/>
          </rPr>
          <t>Origem: relatorio-churn-2026-08-20 (linha 12)
Cliente: OCTAVIANO RAYMUNDO CAMARGO SILVA IE:212.059.354.118
Produto: SIAGRI AGRIMANAGER | MMR 2150.61 | NPS 6
Motivo cliente: Dificuldade de Uso
Motivo interno: Falta de mão de obra / Equipe pequena
Migrou para: AEGRO
Detalhe: Equipe pequena sem capacidade de operar o ERP; migrou para Aegro</t>
        </r>
      </text>
    </comment>
    <comment ref="N32" authorId="0" shapeId="0" xr:uid="{00000000-0006-0000-0000-00001B000000}">
      <text>
        <r>
          <rPr>
            <sz val="10"/>
            <rFont val="Arial"/>
            <family val="2"/>
          </rPr>
          <t>Texto original (julho/2026):
Cancelado - Cliente sentiu falta de relatórios e controles relacionados a balança.</t>
        </r>
      </text>
    </comment>
    <comment ref="N33" authorId="0" shapeId="0" xr:uid="{00000000-0006-0000-0000-00001C000000}">
      <text>
        <r>
          <rPr>
            <sz val="10"/>
            <rFont val="Arial"/>
            <family val="2"/>
          </rPr>
          <t>Texto original (julho/2026):
Churn concluído - solicitado pelo cliente 08/2025</t>
        </r>
      </text>
    </comment>
    <comment ref="O33" authorId="0" shapeId="0" xr:uid="{108B4D07-72A5-480A-81FD-473DF8426130}">
      <text>
        <r>
          <rPr>
            <sz val="10"/>
            <rFont val="Arial"/>
            <family val="2"/>
          </rPr>
          <t>Origem: relatorio-churn-2026-08-20 (linha 12)
Cliente: OCTAVIANO RAYMUNDO CAMARGO SILVA IE:212.059.354.118
Produto: SIAGRI AGRIMANAGER | MMR 2150.61 | NPS 6
Motivo cliente: Dificuldade de Uso
Motivo interno: Falta de mão de obra / Equipe pequena
Migrou para: AEGRO
Detalhe: Equipe pequena sem capacidade de operar o ERP; migrou para Aegro</t>
        </r>
      </text>
    </comment>
    <comment ref="N34" authorId="0" shapeId="0" xr:uid="{00000000-0006-0000-0000-00001D000000}">
      <text>
        <r>
          <rPr>
            <sz val="10"/>
            <rFont val="Arial"/>
            <family val="2"/>
          </rPr>
          <t>Texto original (julho/2026):
Cancelado - Tratado pelo CS</t>
        </r>
      </text>
    </comment>
    <comment ref="N35" authorId="0" shapeId="0" xr:uid="{00000000-0006-0000-0000-00001E000000}">
      <text>
        <r>
          <rPr>
            <sz val="10"/>
            <rFont val="Arial"/>
            <family val="2"/>
          </rPr>
          <t>Texto original (julho/2026):
Cancelado - Emitia apenas nota, passou pra contabilidade.</t>
        </r>
      </text>
    </comment>
    <comment ref="O35" authorId="0" shapeId="0" xr:uid="{00000000-0006-0000-0000-000042000000}">
      <text>
        <r>
          <rPr>
            <sz val="10"/>
            <rFont val="Arial"/>
            <family val="2"/>
          </rPr>
          <t>Origem: relatorio-churn-2026-08-20 (linha 24)
Cliente: ROQUE CASSOL
Produto: MYFARM | MMR 1010.94 | NPS 8
Motivo cliente: Outro — UTILIZAVAM APENAS PARA EMISSÃO DE NOTA E LCPR, PORÉM A CONTABILIDADE DESENVOLVEU UM APP PRÓPRIO E ELE MIGROU PARA ESTE APP, ALEM DE ACHAR ALGUNS DETALHES COMPLEXOS.
Motivo interno: Baixo uso do sistema por parte do cliente / Engajamento
Migrou para: APP PROPRIO DO ESCRITORIO DE CONTABILIDADE. TREVO CONTABILIDADE
Detalhe: Escritório de contabilidade passou a fornecer app próprio para NF-e e LCDPR</t>
        </r>
      </text>
    </comment>
    <comment ref="N36" authorId="0" shapeId="0" xr:uid="{00000000-0006-0000-0000-00001F000000}">
      <text>
        <r>
          <rPr>
            <sz val="10"/>
            <rFont val="Arial"/>
            <family val="2"/>
          </rPr>
          <t>Texto original (julho/2026):
Churn - tratado por CS</t>
        </r>
      </text>
    </comment>
    <comment ref="O36" authorId="0" shapeId="0" xr:uid="{7357CBD6-A352-4A32-8E88-99427C9B6517}">
      <text>
        <r>
          <rPr>
            <sz val="10"/>
            <rFont val="Arial"/>
            <family val="2"/>
          </rPr>
          <t>Origem: relatorio-churn-2026-08-20 (linha 12)
Cliente: OCTAVIANO RAYMUNDO CAMARGO SILVA IE:212.059.354.118
Produto: SIAGRI AGRIMANAGER | MMR 2150.61 | NPS 6
Motivo cliente: Dificuldade de Uso
Motivo interno: Falta de mão de obra / Equipe pequena
Migrou para: AEGRO
Detalhe: Equipe pequena sem capacidade de operar o ERP; migrou para Aegro</t>
        </r>
      </text>
    </comment>
    <comment ref="N37" authorId="0" shapeId="0" xr:uid="{00000000-0006-0000-0000-000020000000}">
      <text>
        <r>
          <rPr>
            <sz val="10"/>
            <rFont val="Arial"/>
            <family val="2"/>
          </rPr>
          <t>Texto original (julho/2026):
Churn - tratado por CS</t>
        </r>
      </text>
    </comment>
    <comment ref="O37" authorId="0" shapeId="0" xr:uid="{00000000-0006-0000-0000-000044000000}">
      <text>
        <r>
          <rPr>
            <sz val="10"/>
            <rFont val="Arial"/>
            <family val="2"/>
          </rPr>
          <t>Origem: relatorio-churn-2026-08-20 (linha 7)
Cliente: PAULO RICARDO SANTIN
Produto: MYFARM | MMR 937.62 | NPS 0
Motivo cliente: Dificuldade de Uso
Motivo interno: Baixo uso do sistema por parte do cliente / Engajamento
Migrou para: NÃO INFORMADO
Detalhe: Cliente alegou dificuldade de uso; interno aponta baixo uso e engajamento</t>
        </r>
      </text>
    </comment>
    <comment ref="N38" authorId="0" shapeId="0" xr:uid="{00000000-0006-0000-0000-000021000000}">
      <text>
        <r>
          <rPr>
            <sz val="10"/>
            <rFont val="Arial"/>
            <family val="2"/>
          </rPr>
          <t>Texto original (julho/2026):
Não localizado grupo economico no hubspot, service desk, ou histórico de emails.</t>
        </r>
      </text>
    </comment>
    <comment ref="N39" authorId="0" shapeId="0" xr:uid="{00000000-0006-0000-0000-000022000000}">
      <text>
        <r>
          <rPr>
            <sz val="10"/>
            <rFont val="Arial"/>
            <family val="2"/>
          </rPr>
          <t>Texto original (julho/2026):
Cliente NÃO cancelou o BI - Foi revertido pela CSM.</t>
        </r>
      </text>
    </comment>
    <comment ref="O39" authorId="0" shapeId="0" xr:uid="{01629E51-93C7-4D1E-B05B-3AFE21321FDC}">
      <text>
        <r>
          <rPr>
            <sz val="10"/>
            <rFont val="Arial"/>
            <family val="2"/>
          </rPr>
          <t>Origem: relatorio-churn-2026-08-20 (linha 7)
Cliente: PAULO RICARDO SANTIN
Produto: MYFARM | MMR 937.62 | NPS 0
Motivo cliente: Dificuldade de Uso
Motivo interno: Baixo uso do sistema por parte do cliente / Engajamento
Migrou para: NÃO INFORMADO
Detalhe: Cliente alegou dificuldade de uso; interno aponta baixo uso e engajamento</t>
        </r>
      </text>
    </comment>
    <comment ref="N40" authorId="0" shapeId="0" xr:uid="{00000000-0006-0000-0000-000023000000}">
      <text>
        <r>
          <rPr>
            <sz val="10"/>
            <rFont val="Arial"/>
            <family val="2"/>
          </rPr>
          <t>Texto original (julho/2026):
Sem informações</t>
        </r>
      </text>
    </comment>
    <comment ref="O40" authorId="0" shapeId="0" xr:uid="{B21102B7-4111-4980-94AC-08C874D7AD0D}">
      <text>
        <r>
          <rPr>
            <sz val="10"/>
            <rFont val="Arial"/>
            <family val="2"/>
          </rPr>
          <t>Origem: relatorio-churn-2026-08-20 (linha 12)
Cliente: OCTAVIANO RAYMUNDO CAMARGO SILVA IE:212.059.354.118
Produto: SIAGRI AGRIMANAGER | MMR 2150.61 | NPS 6
Motivo cliente: Dificuldade de Uso
Motivo interno: Falta de mão de obra / Equipe pequena
Migrou para: AEGRO
Detalhe: Equipe pequena sem capacidade de operar o ERP; migrou para Aegro</t>
        </r>
      </text>
    </comment>
    <comment ref="N41" authorId="0" shapeId="0" xr:uid="{00000000-0006-0000-0000-000024000000}">
      <text>
        <r>
          <rPr>
            <sz val="10"/>
            <rFont val="Arial"/>
            <family val="2"/>
          </rPr>
          <t>Texto original (julho/2026):
Cancelado - Sem mão de obra para lançar</t>
        </r>
      </text>
    </comment>
    <comment ref="O41" authorId="0" shapeId="0" xr:uid="{00000000-0006-0000-0000-000045000000}">
      <text>
        <r>
          <rPr>
            <sz val="10"/>
            <rFont val="Arial"/>
            <family val="2"/>
          </rPr>
          <t>Origem: relatorio-churn-2026-08-20 (linha 14)
Cliente: EVANDRO VILELA BARROS IE 11.331.859-6
Produto: MY FARM ERP | MMR 827.41 | NPS 7
Motivo cliente: Falta de Funcionalidades Essenciais
Motivo interno: Baixo uso do sistema por parte do cliente / Engajamento
Migrou para: SISTEMA PRÓPRIO DA CONTABILIDADE
Detalhe: Migrou para sistema próprio da contabilidade; interno aponta baixo uso</t>
        </r>
      </text>
    </comment>
    <comment ref="N42" authorId="0" shapeId="0" xr:uid="{00000000-0006-0000-0000-000025000000}">
      <text>
        <r>
          <rPr>
            <sz val="10"/>
            <rFont val="Arial"/>
            <family val="2"/>
          </rPr>
          <t>Texto original (julho/2026):
Não passou pelo CS, recente teve visita de analista do vistra ao cliente.</t>
        </r>
      </text>
    </comment>
    <comment ref="N44" authorId="0" shapeId="0" xr:uid="{00000000-0006-0000-0000-000026000000}">
      <text>
        <r>
          <rPr>
            <sz val="10"/>
            <rFont val="Arial"/>
            <family val="2"/>
          </rPr>
          <t xml:space="preserve">Texto original (julho/2026):
Cancelado em Setembro de 2025. </t>
        </r>
      </text>
    </comment>
    <comment ref="N45" authorId="0" shapeId="0" xr:uid="{00000000-0006-0000-0000-000027000000}">
      <text>
        <r>
          <rPr>
            <sz val="10"/>
            <rFont val="Arial"/>
            <family val="2"/>
          </rPr>
          <t>Texto original (julho/2026):
Churn - tratado por CS</t>
        </r>
      </text>
    </comment>
    <comment ref="O45" authorId="0" shapeId="0" xr:uid="{00000000-0006-0000-0000-000046000000}">
      <text>
        <r>
          <rPr>
            <sz val="10"/>
            <rFont val="Arial"/>
            <family val="2"/>
          </rPr>
          <t>Origem: relatorio-churn-2026-08-20 (linha 5)
Cliente: WAGNER EDUARDO BALDIN PEREIRA
Produto: MYFARM | MMR 644.79 | NPS 10
Motivo cliente: Encerramento das Atividades da empresa
Motivo interno: Confirma o motivo pontuado pelo cliente
Migrou para: NÃO SE APLICA
Detalhe: Empresa encerrou as atividades</t>
        </r>
      </text>
    </comment>
    <comment ref="N46" authorId="0" shapeId="0" xr:uid="{00000000-0006-0000-0000-000028000000}">
      <text>
        <r>
          <rPr>
            <sz val="10"/>
            <rFont val="Arial"/>
            <family val="2"/>
          </rPr>
          <t xml:space="preserve">Texto original (julho/2026):
Cliente revogou a contratação, nem chegando a etapa de CS. </t>
        </r>
      </text>
    </comment>
    <comment ref="O46" authorId="0" shapeId="0" xr:uid="{650E1516-EC81-456B-B030-828E39761B5C}">
      <text>
        <r>
          <rPr>
            <sz val="10"/>
            <rFont val="Arial"/>
            <family val="2"/>
          </rPr>
          <t>Origem: relatorio-churn-2026-08-20 (linha 16)
Cliente: PAULO EMILIO PALUDO - IE 13.345.834-2
Produto: MYFARM | MMR 607.37 | NPS 10
Motivo cliente: Falta de Funcionalidades Essenciais
Motivo interno: Confirma o motivo pontuado pelo cliente
Migrou para: NÃO INFORMADO
Detalhe: Falta de funcionalidades essenciais confirmada internamente</t>
        </r>
      </text>
    </comment>
    <comment ref="N47" authorId="0" shapeId="0" xr:uid="{00000000-0006-0000-0000-000029000000}">
      <text>
        <r>
          <rPr>
            <sz val="10"/>
            <rFont val="Arial"/>
            <family val="2"/>
          </rPr>
          <t>Texto original (julho/2026):
Cancelado - Empresa encerrou as atividades.</t>
        </r>
      </text>
    </comment>
    <comment ref="O47" authorId="0" shapeId="0" xr:uid="{464F996D-14BE-4E21-8B81-1C9D7FD66E58}">
      <text>
        <r>
          <rPr>
            <sz val="10"/>
            <rFont val="Arial"/>
            <family val="2"/>
          </rPr>
          <t>Origem: relatorio-churn-2026-08-20 (linha 5)
Cliente: WAGNER EDUARDO BALDIN PEREIRA
Produto: MYFARM | MMR 644.79 | NPS 10
Motivo cliente: Encerramento das Atividades da empresa
Motivo interno: Confirma o motivo pontuado pelo cliente
Migrou para: NÃO SE APLICA
Detalhe: Empresa encerrou as atividades</t>
        </r>
      </text>
    </comment>
    <comment ref="N48" authorId="0" shapeId="0" xr:uid="{00000000-0006-0000-0000-00002A000000}">
      <text>
        <r>
          <rPr>
            <sz val="10"/>
            <rFont val="Arial"/>
            <family val="2"/>
          </rPr>
          <t>Texto original (julho/2026):
sim, tratado pelo cs</t>
        </r>
      </text>
    </comment>
    <comment ref="O48" authorId="0" shapeId="0" xr:uid="{00000000-0006-0000-0000-000047000000}">
      <text>
        <r>
          <rPr>
            <sz val="10"/>
            <rFont val="Arial"/>
            <family val="2"/>
          </rPr>
          <t>Origem: relatorio-churn-2026-08-20 (linha 16)
Cliente: PAULO EMILIO PALUDO - IE 13.345.834-2
Produto: MYFARM | MMR 607.37 | NPS 10
Motivo cliente: Falta de Funcionalidades Essenciais
Motivo interno: Confirma o motivo pontuado pelo cliente
Migrou para: NÃO INFORMADO
Detalhe: Falta de funcionalidades essenciais confirmada internamente</t>
        </r>
      </text>
    </comment>
    <comment ref="N49" authorId="0" shapeId="0" xr:uid="{00000000-0006-0000-0000-00002B000000}">
      <text>
        <r>
          <rPr>
            <sz val="10"/>
            <rFont val="Arial"/>
            <family val="2"/>
          </rPr>
          <t>Texto original (julho/2026):
Sem informações</t>
        </r>
      </text>
    </comment>
    <comment ref="N50" authorId="0" shapeId="0" xr:uid="{00000000-0006-0000-0000-00002C000000}">
      <text>
        <r>
          <rPr>
            <sz val="10"/>
            <rFont val="Arial"/>
            <family val="2"/>
          </rPr>
          <t>Texto original (julho/2026):
Sem informações de downsell.</t>
        </r>
      </text>
    </comment>
    <comment ref="N51" authorId="0" shapeId="0" xr:uid="{00000000-0006-0000-0000-00002D000000}">
      <text>
        <r>
          <rPr>
            <sz val="10"/>
            <rFont val="Arial"/>
            <family val="2"/>
          </rPr>
          <t>Texto original (julho/2026):
Sem informações de downsell no Hubspot e nem tickets do Movidesk AGM.</t>
        </r>
      </text>
    </comment>
    <comment ref="N52" authorId="0" shapeId="0" xr:uid="{00000000-0006-0000-0000-00002E000000}">
      <text>
        <r>
          <rPr>
            <sz val="10"/>
            <rFont val="Arial"/>
            <family val="2"/>
          </rPr>
          <t>Texto original (julho/2026):
Não passou pelo CS, inclusive utiliza o BI.</t>
        </r>
      </text>
    </comment>
    <comment ref="N53" authorId="0" shapeId="0" xr:uid="{00000000-0006-0000-0000-00002F000000}">
      <text>
        <r>
          <rPr>
            <sz val="10"/>
            <rFont val="Arial"/>
            <family val="2"/>
          </rPr>
          <t>Texto original (julho/2026):
Cliente AGB, Clover e Agrométrika</t>
        </r>
      </text>
    </comment>
    <comment ref="N54" authorId="0" shapeId="0" xr:uid="{00000000-0006-0000-0000-000030000000}">
      <text>
        <r>
          <rPr>
            <sz val="10"/>
            <rFont val="Arial"/>
            <family val="2"/>
          </rPr>
          <t>Texto original (julho/2026):
Cancelado - Myfarm não atende leilão de animais.</t>
        </r>
      </text>
    </comment>
    <comment ref="O54" authorId="0" shapeId="0" xr:uid="{87664F22-865F-4AF9-82B2-A9A9609A420E}">
      <text>
        <r>
          <rPr>
            <sz val="10"/>
            <rFont val="Arial"/>
            <family val="2"/>
          </rPr>
          <t>Origem: relatorio-churn-2026-08-20 (linha 19)
Cliente: MARIO PINTO DA SILVA
Produto: MYFARM | MMR 1327.99 | NPS 6
Motivo cliente: Falta de Funcionalidades Essenciais
Motivo interno: Confirma o motivo pontuado pelo cliente
Migrou para: KATRID
Detalhe: Produto não atendeu a operação de pecuária; migrou para Katrid</t>
        </r>
      </text>
    </comment>
    <comment ref="N55" authorId="0" shapeId="0" xr:uid="{00000000-0006-0000-0000-000031000000}">
      <text>
        <r>
          <rPr>
            <sz val="10"/>
            <rFont val="Arial"/>
            <family val="2"/>
          </rPr>
          <t>Texto original (julho/2026):
Cliente simer</t>
        </r>
      </text>
    </comment>
    <comment ref="N56" authorId="0" shapeId="0" xr:uid="{00000000-0006-0000-0000-000032000000}">
      <text>
        <r>
          <rPr>
            <sz val="10"/>
            <rFont val="Arial"/>
            <family val="2"/>
          </rPr>
          <t>Texto original (julho/2026):
VENDA ERADA</t>
        </r>
      </text>
    </comment>
    <comment ref="N57" authorId="0" shapeId="0" xr:uid="{00000000-0006-0000-0000-000033000000}">
      <text>
        <r>
          <rPr>
            <sz val="10"/>
            <rFont val="Arial"/>
            <family val="2"/>
          </rPr>
          <t>Texto original (julho/2026):
Cancelado - Migraram para software específico para produção de leite e criação de bovinos.</t>
        </r>
      </text>
    </comment>
    <comment ref="O57" authorId="0" shapeId="0" xr:uid="{95BD3304-39C1-43EA-9BFE-396C40C970E0}">
      <text>
        <r>
          <rPr>
            <sz val="10"/>
            <rFont val="Arial"/>
            <family val="2"/>
          </rPr>
          <t>Origem: relatorio-churn-2026-08-20 (linha 19)
Cliente: MARIO PINTO DA SILVA
Produto: MYFARM | MMR 1327.99 | NPS 6
Motivo cliente: Falta de Funcionalidades Essenciais
Motivo interno: Confirma o motivo pontuado pelo cliente
Migrou para: KATRID
Detalhe: Produto não atendeu a operação de pecuária; migrou para Katrid</t>
        </r>
      </text>
    </comment>
    <comment ref="N58" authorId="0" shapeId="0" xr:uid="{00000000-0006-0000-0000-000034000000}">
      <text>
        <r>
          <rPr>
            <sz val="10"/>
            <rFont val="Arial"/>
            <family val="2"/>
          </rPr>
          <t>Texto original (julho/2026):
Cancelado em 2025  - Lentidão no MyFarm</t>
        </r>
      </text>
    </comment>
    <comment ref="N59" authorId="0" shapeId="0" xr:uid="{00000000-0006-0000-0000-000035000000}">
      <text>
        <r>
          <rPr>
            <sz val="10"/>
            <rFont val="Arial"/>
            <family val="2"/>
          </rPr>
          <t>Texto original (julho/2026):
Cliente renovou no valor informado pelo financiero 5.660,78</t>
        </r>
      </text>
    </comment>
    <comment ref="N60" authorId="0" shapeId="0" xr:uid="{00000000-0006-0000-0000-000036000000}">
      <text>
        <r>
          <rPr>
            <sz val="10"/>
            <rFont val="Arial"/>
            <family val="2"/>
          </rPr>
          <t>Texto original (julho/2026):
O cancelamento que eu tratei foi do CLOVER.</t>
        </r>
      </text>
    </comment>
    <comment ref="N61" authorId="0" shapeId="0" xr:uid="{00000000-0006-0000-0000-000037000000}">
      <text>
        <r>
          <rPr>
            <sz val="10"/>
            <rFont val="Arial"/>
            <family val="2"/>
          </rPr>
          <t>Texto original (julho/2026):
AUTORIZE ATIVO</t>
        </r>
      </text>
    </comment>
    <comment ref="N62" authorId="0" shapeId="0" xr:uid="{00000000-0006-0000-0000-000038000000}">
      <text>
        <r>
          <rPr>
            <sz val="10"/>
            <rFont val="Arial"/>
            <family val="2"/>
          </rPr>
          <t>Texto original (julho/2026):
Não passou pelo CS</t>
        </r>
      </text>
    </comment>
    <comment ref="N63" authorId="0" shapeId="0" xr:uid="{00000000-0006-0000-0000-000039000000}">
      <text>
        <r>
          <rPr>
            <sz val="10"/>
            <rFont val="Arial"/>
            <family val="2"/>
          </rPr>
          <t xml:space="preserve">Texto original (julho/2026):
Não passou pelo CS, </t>
        </r>
      </text>
    </comment>
    <comment ref="N64" authorId="0" shapeId="0" xr:uid="{00000000-0006-0000-0000-00003A000000}">
      <text>
        <r>
          <rPr>
            <sz val="10"/>
            <rFont val="Arial"/>
            <family val="2"/>
          </rPr>
          <t>Origem: Base_Tratada linha 12, marcada como "Evento sem impacto financeiro".
Não consta no arquivo de julho/2026.</t>
        </r>
      </text>
    </comment>
    <comment ref="N65" authorId="0" shapeId="0" xr:uid="{00000000-0006-0000-0000-00003B000000}">
      <text>
        <r>
          <rPr>
            <sz val="10"/>
            <rFont val="Arial"/>
            <family val="2"/>
          </rPr>
          <t>Origem: Base_Tratada linhas 48 e 49 (-R$ 131,11 e +R$ 131,11, estorno de linha negativa).
Confirmado no arquivo de julho/2026 (linha 50) com valor zero e tratativa de CS registrada.</t>
        </r>
      </text>
    </comment>
    <comment ref="N66" authorId="0" shapeId="0" xr:uid="{00000000-0006-0000-0000-00003C000000}">
      <text>
        <r>
          <rPr>
            <sz val="10"/>
            <rFont val="Arial"/>
            <family val="2"/>
          </rPr>
          <t>Origem: Base_Tratada linha 90, marcada como "Evento sem impacto financeiro".
O arquivo de julho traz apenas a linha do Agrimanager ERP (-R$ 2.110,81) para este cliente; a linha do Aliare Cloud não existe lá.
A perda real do cliente está integralmente na linha 17.</t>
        </r>
      </text>
    </comment>
  </commentList>
</comments>
</file>

<file path=xl/sharedStrings.xml><?xml version="1.0" encoding="utf-8"?>
<sst xmlns="http://schemas.openxmlformats.org/spreadsheetml/2006/main" count="1301" uniqueCount="362">
  <si>
    <t>CONSOLIDADO DE CHURN E DOWNSELL — 1 linha por cliente x produto</t>
  </si>
  <si>
    <t>Filtro: STATUS = Churn ou Downsell. Agrupamento: Cliente (col. A original) x Novo_Produto (col. G original). Valores: soma COM SINAL da coluna Variacao (col. D original) — ver aba Notas.</t>
  </si>
  <si>
    <t>Cliente</t>
  </si>
  <si>
    <t>Cód. Cliente</t>
  </si>
  <si>
    <t>Contrato(s)</t>
  </si>
  <si>
    <t>Produto</t>
  </si>
  <si>
    <t>Status</t>
  </si>
  <si>
    <t>Competência(s)</t>
  </si>
  <si>
    <t>Qtd. linhas origem</t>
  </si>
  <si>
    <t>Variação total (R$)</t>
  </si>
  <si>
    <t>Perda (R$ positivo)</t>
  </si>
  <si>
    <t>% da perda total</t>
  </si>
  <si>
    <t>Considera no Churn?</t>
  </si>
  <si>
    <t>Procede?</t>
  </si>
  <si>
    <t>Trato por CSM?</t>
  </si>
  <si>
    <t>Motivo do Cancelamento</t>
  </si>
  <si>
    <t>Motivo do Cancelamento (categoria)</t>
  </si>
  <si>
    <t>SERIOS AGROPECUARIA LTDA</t>
  </si>
  <si>
    <t>30001083</t>
  </si>
  <si>
    <t>Agrimanager ERP</t>
  </si>
  <si>
    <t>Downsell</t>
  </si>
  <si>
    <t>fev/26; mai/26</t>
  </si>
  <si>
    <t>Sim</t>
  </si>
  <si>
    <t>Troca de ERP</t>
  </si>
  <si>
    <t>CLODOVEU FRANCIOSI IE 133535746</t>
  </si>
  <si>
    <t>30001424</t>
  </si>
  <si>
    <t>jun/26</t>
  </si>
  <si>
    <t>Querem eduzir as licenças porque estava “em processo de migração de ERP”. Por isso, solicitou permanecer com apenas 1 licença de cada módulo ativo, além do cancelamento completo do módulo de Recursos Humanos.</t>
  </si>
  <si>
    <t>troca de ERP</t>
  </si>
  <si>
    <t>SERRA BONITA SEMENTES S.A.</t>
  </si>
  <si>
    <t>30000899</t>
  </si>
  <si>
    <t>Venda da empresa</t>
  </si>
  <si>
    <t>LEONARDO LUIZ OSS</t>
  </si>
  <si>
    <t>30005248</t>
  </si>
  <si>
    <t>My Farm ERP</t>
  </si>
  <si>
    <t>mai/26</t>
  </si>
  <si>
    <t>Cancelamento do serviço de BPO</t>
  </si>
  <si>
    <t>Decisão estratégica / internalização</t>
  </si>
  <si>
    <t>3SB PRODUTOS AGRICOLAS S.A.</t>
  </si>
  <si>
    <t>30000677</t>
  </si>
  <si>
    <t>Churn</t>
  </si>
  <si>
    <t>fev/26</t>
  </si>
  <si>
    <t>Cancelamento parcial: falta de integração com outros sistemas, falta de recursos no produto, mudança nas necessidades do cliente e problemas de suporte</t>
  </si>
  <si>
    <t>Falta de flexibilidade e automação do AGM.</t>
  </si>
  <si>
    <t>BRUNO SANCHES TORO</t>
  </si>
  <si>
    <t>30004006</t>
  </si>
  <si>
    <t>Problemas financeiros</t>
  </si>
  <si>
    <t>Gap funcional / limitação do produto</t>
  </si>
  <si>
    <t>CLAUDIO AUGUSTO DINIZ - I.E. 13.235.367-9</t>
  </si>
  <si>
    <t>30001556</t>
  </si>
  <si>
    <t>Uso restrito a emissão de nota, tornando a operação inviável</t>
  </si>
  <si>
    <t>Baixa adoção / não uso</t>
  </si>
  <si>
    <t>RICARDO SILVA ROCHA IE: 11.196.197-1</t>
  </si>
  <si>
    <t>30003254</t>
  </si>
  <si>
    <t>Não</t>
  </si>
  <si>
    <t>Migração interna para My Farm (Primavera) — receita retida na Aliare</t>
  </si>
  <si>
    <t>Migração interna de ERP</t>
  </si>
  <si>
    <t>NATALINO BIGOLIN IE:13.606.182-6</t>
  </si>
  <si>
    <t>30004170</t>
  </si>
  <si>
    <t>Aliare Cloud - PR</t>
  </si>
  <si>
    <t>Sem acesso ao banco de dados</t>
  </si>
  <si>
    <t>LUIS HENRIQUE PAZINI E OUTRO - IE - 133440532</t>
  </si>
  <si>
    <t>30006041</t>
  </si>
  <si>
    <t>Não informado pelo cliente, solicitação de cancelamento sem justificativa porém foi encontrados informações sobre insatisfação sobre instabilidade do sistema.</t>
  </si>
  <si>
    <t>Instabilidade myFarm.</t>
  </si>
  <si>
    <t>ZORZETTO ASSES. E CONSULTORIA AGRONOMICA LTDA.</t>
  </si>
  <si>
    <t>30002254</t>
  </si>
  <si>
    <t>Sim (outra vertical)</t>
  </si>
  <si>
    <t>Não informado — tratado pelo CS de Distribuidor Rural</t>
  </si>
  <si>
    <t>Vertical Distribuição</t>
  </si>
  <si>
    <t>OCTAVIANO RAYMUNDO CAMARGO SILVA IE:212.059.354.118</t>
  </si>
  <si>
    <t>30004772</t>
  </si>
  <si>
    <t>Falta de mão de obra para operar o sistema</t>
  </si>
  <si>
    <t>Falta de mão de obra / estrutura</t>
  </si>
  <si>
    <t>VALQUIRIA MARCELINO FERREIRA ABREU IE: 13.429.008-9</t>
  </si>
  <si>
    <t>30004756</t>
  </si>
  <si>
    <t>Não localizado</t>
  </si>
  <si>
    <t>Não informado — sem histórico de tratativas</t>
  </si>
  <si>
    <t>Sem informação</t>
  </si>
  <si>
    <t>Agrimanager Algodoeira</t>
  </si>
  <si>
    <t>mar/26</t>
  </si>
  <si>
    <t>SEMENTES TRES PINHEIROS SEEDS LTDA</t>
  </si>
  <si>
    <t>30004593</t>
  </si>
  <si>
    <t>jan/26</t>
  </si>
  <si>
    <t>Não informado</t>
  </si>
  <si>
    <t>MARCONDES AGROPECUARIA LTDA</t>
  </si>
  <si>
    <t>30001946</t>
  </si>
  <si>
    <t>Vistra BI - PR</t>
  </si>
  <si>
    <t xml:space="preserve">Não  </t>
  </si>
  <si>
    <t>Contrato permanece ativo cliente pagando 1.810,39</t>
  </si>
  <si>
    <t>CAPIVARY AGROPASTORIL LTDA</t>
  </si>
  <si>
    <t>30002051</t>
  </si>
  <si>
    <t>Terceirizou ADM e financeiro para a contabilidade, inicialmente permaneceriam com um usuário, por fim optaram por realizar o cancelamento</t>
  </si>
  <si>
    <t>CARLOS ALBERTO MORESCO</t>
  </si>
  <si>
    <t>30001343</t>
  </si>
  <si>
    <t>Restrições financeiras</t>
  </si>
  <si>
    <t>OSVALDO HANISCH - I.E. 057.547.903</t>
  </si>
  <si>
    <t>30001671</t>
  </si>
  <si>
    <t>Reestruturação no quadro de colaboradores</t>
  </si>
  <si>
    <t>AGRO 100 COMERCIO DE PRODUTOS AGRICOLAS LTDA - EM RECUPERACAO</t>
  </si>
  <si>
    <t>10000135</t>
  </si>
  <si>
    <t>Sem relatório de churn</t>
  </si>
  <si>
    <t>FERNANDO CAVALHEIRO MACHADO I.E.29.439.136-3</t>
  </si>
  <si>
    <t>30005481</t>
  </si>
  <si>
    <t>Provável inadimplência, sem tratativa de churn localizada</t>
  </si>
  <si>
    <t>MARIO PINTO DA SILVA</t>
  </si>
  <si>
    <t>30007174</t>
  </si>
  <si>
    <t>Gap funcional: cliente de pecuária, My Farm não atendeu</t>
  </si>
  <si>
    <t>FLAVIO FAEDO IE 11.508.239-5</t>
  </si>
  <si>
    <t>30002569</t>
  </si>
  <si>
    <t>Falta de engajamento e recursos do produto</t>
  </si>
  <si>
    <t>ACASSIO TELES DE CASTRO</t>
  </si>
  <si>
    <t>30005439</t>
  </si>
  <si>
    <t>S EPP AGRICOLA LTDA</t>
  </si>
  <si>
    <t>30001307</t>
  </si>
  <si>
    <t>Ajuste financeiro pelo time de contratos</t>
  </si>
  <si>
    <t>Reajuste financeiro contratual</t>
  </si>
  <si>
    <t>ANDRE LUIZ COELHO GUILHERME</t>
  </si>
  <si>
    <t>30005242</t>
  </si>
  <si>
    <t>PEDRO ALCEU BACH</t>
  </si>
  <si>
    <t>30006286</t>
  </si>
  <si>
    <t>Cliente alega que o sistema não atende as demandas</t>
  </si>
  <si>
    <t>Recursos do produto</t>
  </si>
  <si>
    <t>THIAGO DE ALMEIDA</t>
  </si>
  <si>
    <t>30002281</t>
  </si>
  <si>
    <t>Sim (ressalva)</t>
  </si>
  <si>
    <t>Solicitado pelo cliente em 08/2025 — baixa registrada em jun/26</t>
  </si>
  <si>
    <t>LUCAS BOLOGNINI STRACCI</t>
  </si>
  <si>
    <t>30001182</t>
  </si>
  <si>
    <t>Cliente solicitou em 09/2025 - baixa registrada em 06/2026</t>
  </si>
  <si>
    <t>ROQUE CASSOL</t>
  </si>
  <si>
    <t>30005345</t>
  </si>
  <si>
    <t>Uso restrito a emissão de nota; passou para a contabilidade</t>
  </si>
  <si>
    <t>Migração para solução própria ou contábil</t>
  </si>
  <si>
    <t>FABIANO BERGOLI ZAMBERLAN IE:120114927-1</t>
  </si>
  <si>
    <t>30005541</t>
  </si>
  <si>
    <t>Desengajado e usava planilhas no paralelo</t>
  </si>
  <si>
    <t>PAULO RICARDO SANTIN</t>
  </si>
  <si>
    <t>30005426</t>
  </si>
  <si>
    <t>Nunca usou o sistema</t>
  </si>
  <si>
    <t>DONA EMA AGROPECUARIA E INDUSTRIAL LTDA</t>
  </si>
  <si>
    <t>30000891</t>
  </si>
  <si>
    <t>Redução feita atravez de ticket 698079</t>
  </si>
  <si>
    <t>EDUARDO ZORZI - I.E. 13.322.258-6</t>
  </si>
  <si>
    <t>30001903</t>
  </si>
  <si>
    <t>Não estavam utilizando</t>
  </si>
  <si>
    <t>ADEMIR JOSE COMPARIM IE-28.523.221-5</t>
  </si>
  <si>
    <t>30002927</t>
  </si>
  <si>
    <t>Não localizado historico CS, apenas informação do time de contratos de que recebeu a demanda do CS</t>
  </si>
  <si>
    <t>EVANDRO VILELA BARROS IE 11.331.859-6</t>
  </si>
  <si>
    <t>30003941</t>
  </si>
  <si>
    <t>TANIA POTRICH DE ROCCO E OUTROS IE 13.234.919-1</t>
  </si>
  <si>
    <t>30005685</t>
  </si>
  <si>
    <t>RODRIGO KONAGESKI I.E.13.252.476-7</t>
  </si>
  <si>
    <t>30002242</t>
  </si>
  <si>
    <t>Decisão interna cliente, devido informações lançadas erradas no erp.</t>
  </si>
  <si>
    <t>VALDIR FREIER  IE 00132823500</t>
  </si>
  <si>
    <t>30002645</t>
  </si>
  <si>
    <t>Cancelamento ocorrido em set/2025 — baixa registrada em jun/26. Não há uma causa formal registrada para o cancelamento do MyFarm; o histórico mostra sinais de risco e tentativa de retenção, mas não documenta a justificativa dada pelo cliente.</t>
  </si>
  <si>
    <t>Inadimplência</t>
  </si>
  <si>
    <t>WAGNER EDUARDO BALDIN PEREIRA</t>
  </si>
  <si>
    <t>30005764</t>
  </si>
  <si>
    <t>Arrendou a propriedade</t>
  </si>
  <si>
    <t>Encerramento de atividades</t>
  </si>
  <si>
    <t>GUILHERME DE ARAUJO PREDIGER</t>
  </si>
  <si>
    <t>30007398</t>
  </si>
  <si>
    <t>Cliente revogou a contratação antes de chegar ao CS</t>
  </si>
  <si>
    <t>RENTAX AGROSOLUCOES E SERVICOS ADMINISTRATIVOS LTDA</t>
  </si>
  <si>
    <t>30005063</t>
  </si>
  <si>
    <t>Encerramento das atividades da empresa</t>
  </si>
  <si>
    <t>PAULO EMILIO PALUDO - IE 13.345.834-2</t>
  </si>
  <si>
    <t>30003760</t>
  </si>
  <si>
    <t>CARLOS FERNANDO DA SILVEIRA BUENO</t>
  </si>
  <si>
    <t>30005453</t>
  </si>
  <si>
    <t>MARCELO ANDRE KONAGESKI</t>
  </si>
  <si>
    <t>30001240</t>
  </si>
  <si>
    <t>Redução de colaboradores</t>
  </si>
  <si>
    <t>MATEUS EDUARDO GONCALVES VIANA</t>
  </si>
  <si>
    <t>30000900</t>
  </si>
  <si>
    <t>MBB AGRO LTDA</t>
  </si>
  <si>
    <t>30005763</t>
  </si>
  <si>
    <t>A validar</t>
  </si>
  <si>
    <t>Cliente segue utilizando o BI — evento a confirmar</t>
  </si>
  <si>
    <t>Contrato Ativo</t>
  </si>
  <si>
    <t>CORNELIO ADRIANO SANDERS E OUTROS</t>
  </si>
  <si>
    <t>30000717</t>
  </si>
  <si>
    <t>Redução feita atravez de ticket 770439, sem justificativa.</t>
  </si>
  <si>
    <t>Sen informação</t>
  </si>
  <si>
    <t>ELIANA GASPARINI TESTA IE 111876893</t>
  </si>
  <si>
    <t>30005902</t>
  </si>
  <si>
    <t>Gap funcional: My Farm não atende leilão de animais</t>
  </si>
  <si>
    <t>JORGE AUGUSTO BARRAGANA BRAZEIRO</t>
  </si>
  <si>
    <t>30004747</t>
  </si>
  <si>
    <t>Cliente Simer</t>
  </si>
  <si>
    <t>MARCOS CESAR JORDAO</t>
  </si>
  <si>
    <t>30000770</t>
  </si>
  <si>
    <t>Agrimanager Autorize</t>
  </si>
  <si>
    <t>Erro de venda/faturamento (venda errada)</t>
  </si>
  <si>
    <t>Erro de venda</t>
  </si>
  <si>
    <t>GERALDO AUGUSTO MARTINS TEIXEIRA IE 37260520019</t>
  </si>
  <si>
    <t>30005853</t>
  </si>
  <si>
    <t>Migrou para software específico de produção de leite e bovinos</t>
  </si>
  <si>
    <t>LEINNER LIMA BORGES IE 11.468.592-4</t>
  </si>
  <si>
    <t>30003044</t>
  </si>
  <si>
    <t>Lentidão/performance do My Farm — cancelamento originado em 2025</t>
  </si>
  <si>
    <t>LEANDRO CAIAFFA ORCAY</t>
  </si>
  <si>
    <t>30004869</t>
  </si>
  <si>
    <t>Cliente renovou baseado no valor sem INPC</t>
  </si>
  <si>
    <t>Renovação errada</t>
  </si>
  <si>
    <t>ANTONIO MIGUEL WEBER DOS SANTOS I.E. 13.294.586-0</t>
  </si>
  <si>
    <t>30001646</t>
  </si>
  <si>
    <t>abr/26</t>
  </si>
  <si>
    <t>Sim (outro produto)</t>
  </si>
  <si>
    <t>Divergência de produto: tratativa registrada foi do Clover, não do Autorize</t>
  </si>
  <si>
    <t>MARCOS JOSE MELOZZI E OUTROS-I.E.13.576.600-1</t>
  </si>
  <si>
    <t>30001726</t>
  </si>
  <si>
    <t>Autorize permanece ativo</t>
  </si>
  <si>
    <t>Contrato ativo</t>
  </si>
  <si>
    <t>EDIANA EDITH BOERI IE: 126447373</t>
  </si>
  <si>
    <t>30003274</t>
  </si>
  <si>
    <t>Cliente ativa, inclusive é a cliente que tenta pagar desde Fevereiro sem realizarmos a cobrança. Não localizado tratativas que indiquem essa redução de R$ 65,30 no contrato da cliente.</t>
  </si>
  <si>
    <t>BRUNO RODRIGUES CAPPELLESSO</t>
  </si>
  <si>
    <t>30002239</t>
  </si>
  <si>
    <t>ADRIANO XAVIER PIVETTA E OUTROS I.E 13.438.585-3</t>
  </si>
  <si>
    <t>30002303</t>
  </si>
  <si>
    <t>Sem impacto (R$ 0,00)</t>
  </si>
  <si>
    <t>Downsell de Agrimanager Autorize sem variação de MRR. Evento registrado na base de origem, sem reflexo financeiro.</t>
  </si>
  <si>
    <t>Sem impacto financeiro</t>
  </si>
  <si>
    <t>Cancelamento de Agrimanager Autorize com cobrança de R$ 131,11 e estorno de igual valor na mesma competência — resultado líquido zero. A perda real do cliente está na linha 34.</t>
  </si>
  <si>
    <t>Aliare Cloud sem MRR no contrato 30004756, cancelado junto com o Agrimanager ERP (linha 17). Mesmo cliente e mesma competência, produto diferente — não é duplicidade de registro.</t>
  </si>
  <si>
    <t xml:space="preserve">Baixa aderência do agm. Sem impacto financeiro. </t>
  </si>
  <si>
    <t>TOTAL</t>
  </si>
  <si>
    <t>ATENÇÃO — leia antes de usar estes números:</t>
  </si>
  <si>
    <t>1) A soma da coluna Variação é feita COM SINAL. Existem 8 linhas POSITIVAS dentro de eventos de Churn: são estornos de linhas de desconto/crédito negativas que existiam no faturamento anterior. Somar em módulo inflaria a perda em R$ 20.076,54 (+18,5%) — valor errado.</t>
  </si>
  <si>
    <t>2) Cliente + produto que teve evento em mais de um mês foi colapsado em 1 linha (SERIOS AGROPECUARIA e SERRA BONITA SEMENTES). A coluna Competência(s) preserva os meses. Para leitura mensal, use a aba Análises.</t>
  </si>
  <si>
    <t>3) 3 linhas têm variação R$ 0,00 (Rentax, Adriano Xavier Pivetta, Valquiria/Aliare Cloud): são eventos registrados sem impacto financeiro no mês.</t>
  </si>
  <si>
    <t>4) Fonte: Produtor__Rural_-_Lista_YTD_06-2026.xlsx, aba Planilha1, 13.856 linhas, competências jan a jun/2026. Filtro aplicado: 89 linhas.</t>
  </si>
  <si>
    <t>5) Colunas K, L e M foram preenchidas a partir da coluna de observação livre do arquivo "Churn_e_Down_-_Julho_2026.xlsx" (aba Planilha1). O texto original de cada linha está preservado como comentário na célula da coluna M.</t>
  </si>
  <si>
    <t>6) Critério de "Procede?": Sim = evento real de churn/downsell. Não = evento não se confirma (contrato ativo, revertido pela CSM, renovação, migração interna ou erro de venda). Sim (ressalva) = evento real, mas com competência divergente (cancelamento originado em 2025). A validar = a observação de julho não permite concluir.</t>
  </si>
  <si>
    <t>7) Critério de "Trato por CSM?": Sim = há registro explícito de tratativa do CS. Não = a observação afirma que não passou pelo CS. Sem informação = a observação nada diz sobre o CS. Não localizado = houve busca (HubSpot, Service Desk, e-mail) e nada foi encontrado.</t>
  </si>
  <si>
    <t>8) LACUNAS — 2 linhas deste consolidado não existem no arquivo de julho: ADRIANO XAVIER PIVETTA (Agrimanager Autorize, Downsell, mar/26) e VALQUIRIA MARCELINO FERREIRA ABREU (Aliare Cloud - PR, Churn, mai/26). Ambas com variação R$ 0,00 e reclassificadas como "Sem impacto (R$ 0,00)" — ver nota 12.</t>
  </si>
  <si>
    <t>9) LACUNAS — 2 linhas existem no arquivo de julho mas com a observação em branco: RODRIGO KONAGESKI (Vistra BI, fev/26) e AGRO 100 (Agrimanager ERP, mar/26). ROGERIO EZEQUIEL FERRARI (Agrimanager Autorize, mar/26) está em julho, também sem observação, e nem consta neste consolidado.</t>
  </si>
  <si>
    <t>10) DIVERGÊNCIAS DE BASE — julho totaliza R$ 109.147,10 contra R$ 108.562,33 aqui. A diferença de R$ 584,77 vem de ROGERIO EZEQUIEL FERRARI (R$ 193,33, ausente aqui) e de MARCOS CESAR JORDAO (R$ 798,68 em julho contra R$ 407,24 aqui — diferença de R$ 391,44, correspondente à linha de Ajuste entre mai/26 e jun/26).</t>
  </si>
  <si>
    <t>11) Coluna N — categoria raiz do cancelamento, extraída do arquivo "relatorio-churn-2026-08-20.xlsx". Vocabulário controlado de 10 valores para permitir contagem e soma por categoria. A classificação usa o campo "Histórico motivo cancelamento" como árbitro quando o motivo declarado pelo cliente diverge do motivo interno. O detalhe de cada caso está no comentário da célula. "Sem relatório de churn" = o cliente não consta no relatório.</t>
  </si>
  <si>
    <t>12) EVENTOS SEM IMPACTO FINANCEIRO — 3 linhas movimentam R$ 0,00 e foram marcadas como "Sem impacto (R$ 0,00)" na coluna K: VALQUIRIA (Aliare Cloud, linha 66), ADRIANO XAVIER PIVETTA (Autorize, linha 64) e LUCAS BOLOGNINI (Autorize, linha 65). Não são duplicidades: a aba segue a regra de 1 linha por cliente x produto, e nos três casos trata-se de um segundo produto do mesmo contrato, sem MRR próprio. Para contagem de eventos de churn/downsell com efeito financeiro, filtrar a coluna K excluindo este valor: 59 eventos, R$ 108.562,33.</t>
  </si>
  <si>
    <t>ANALISES DE CHURN E DOWNSELL — Vertical Produtores Agricolas — YTD jan a jun/2026</t>
  </si>
  <si>
    <t>Todos os numeros abaixo sao calculados por formula a partir das abas Base_Tratada e Dados_Origem. Nada esta digitado a mao.</t>
  </si>
  <si>
    <t>1.  RESUMO EXECUTIVO</t>
  </si>
  <si>
    <t>Indicador</t>
  </si>
  <si>
    <t>Valor</t>
  </si>
  <si>
    <t>Leitura</t>
  </si>
  <si>
    <t>Perda bruta total (Churn + Downsell)</t>
  </si>
  <si>
    <t>Soma com sinal da coluna Variacao nas 89 linhas filtradas.</t>
  </si>
  <si>
    <t xml:space="preserve">   dos quais Churn</t>
  </si>
  <si>
    <t>50,6% da perda. Cliente/produto encerrado.</t>
  </si>
  <si>
    <t xml:space="preserve">   dos quais Downsell</t>
  </si>
  <si>
    <t>49,4% da perda. Reducao de escopo com o cliente ativo.</t>
  </si>
  <si>
    <t>Clientes distintos afetados</t>
  </si>
  <si>
    <t>12,0% da base de ~484 clientes ativos foi tocada em 6 meses.</t>
  </si>
  <si>
    <t>Eventos unicos (cliente x produto x mes)</t>
  </si>
  <si>
    <t>A aba Consolidado tem 62 linhas porque dois pares tiveram evento em 2 meses.</t>
  </si>
  <si>
    <t>MRR medio mensal da base</t>
  </si>
  <si>
    <t>Media das 6 competencias.</t>
  </si>
  <si>
    <t>Taxa de churn bruta mensal</t>
  </si>
  <si>
    <t>Perda media mensal sobre o MRR medio.</t>
  </si>
  <si>
    <t>Taxa de churn bruta anualizada</t>
  </si>
  <si>
    <t>Perda bruta anualizada da base. Referencia SaaS PME: 10% a 15% ao ano.</t>
  </si>
  <si>
    <t>NRR estimado no semestre</t>
  </si>
  <si>
    <t>MRR de jan mais perdas, upsell e reajuste. Nao conta novos logos.</t>
  </si>
  <si>
    <t>Ticket medio jan/26</t>
  </si>
  <si>
    <t>MRR dividido por clientes ativos.</t>
  </si>
  <si>
    <t>Ticket medio jun/26</t>
  </si>
  <si>
    <t>Queda de 4,8% em 6 meses.</t>
  </si>
  <si>
    <t>Concentracao: top 3 linhas cliente x produto</t>
  </si>
  <si>
    <t>Por cliente (somando produtos) o top 3 chega a 35,7% e o top 10 a 60,0%.</t>
  </si>
  <si>
    <t>2.  VALOR DE CHURN E DOWNSELL POR MES</t>
  </si>
  <si>
    <t>Mes</t>
  </si>
  <si>
    <t>Churn (R$)</t>
  </si>
  <si>
    <t>Downsell (R$)</t>
  </si>
  <si>
    <t>Total (R$)</t>
  </si>
  <si>
    <t>MRR base do mes</t>
  </si>
  <si>
    <t>% do MRR</t>
  </si>
  <si>
    <t>Eventos de Churn</t>
  </si>
  <si>
    <t>Eventos de Downsell</t>
  </si>
  <si>
    <t>3.  QUANTIDADE DE EVENTOS POR MES x PRODUTO  (evento = cliente x produto x mes)</t>
  </si>
  <si>
    <t>3.1  CHURN — quantidade de eventos</t>
  </si>
  <si>
    <t>Total</t>
  </si>
  <si>
    <t>3.2  DOWNSELL — quantidade de eventos</t>
  </si>
  <si>
    <t>4.  VALOR PERDIDO (R$) POR MES x PRODUTO  — Churn + Downsell somados</t>
  </si>
  <si>
    <t>Total YTD</t>
  </si>
  <si>
    <t>MRR medio mensal</t>
  </si>
  <si>
    <t>Taxa mensal</t>
  </si>
  <si>
    <t>MRR medio mensal por produto: input extraido do arquivo original (media das 6 competencias).</t>
  </si>
  <si>
    <t>5.  RANKING DE PERDA — onde a receita realmente saiu (top 15 de 62 linhas)</t>
  </si>
  <si>
    <t>#</t>
  </si>
  <si>
    <t>Perda (R$)</t>
  </si>
  <si>
    <t>% acumulado</t>
  </si>
  <si>
    <t>6.  MOVIMENTACAO COMPLETA DO MRR — o churn no contexto do saldo do mes</t>
  </si>
  <si>
    <t>Novos logos</t>
  </si>
  <si>
    <t>Upsell</t>
  </si>
  <si>
    <t>Reajuste</t>
  </si>
  <si>
    <t>Ajustes</t>
  </si>
  <si>
    <t>Saldo liquido</t>
  </si>
  <si>
    <t>MRR base</t>
  </si>
  <si>
    <t>TOTAL YTD</t>
  </si>
  <si>
    <t>Saldo liquido YTD de -R$ 33.686 contra uma queda observada de MRR de -R$ 26.083 (jan vs jun). A diferenca de R$ 7.603 vem das linhas com valor vazio em jan/26 e mai/26, tratadas como zero. Ver ressalva 4.</t>
  </si>
  <si>
    <t>7.  O QUE OS NUMEROS DIZEM — leitura critica</t>
  </si>
  <si>
    <t>A base cresce em logos e encolhe em receita.</t>
  </si>
  <si>
    <t>De jan a jun a carteira foi de 470 para 484 clientes (+3,0%) e o MRR caiu de R$ 1.325.910 para R$ 1.299.827 (-2,0%). O ticket medio caiu de R$ 2.821 para R$ 2.686 (-4,8%). Vender mais logos nao esta compensando a erosao da base instalada.</t>
  </si>
  <si>
    <t>Metade da perda nao e cancelamento, e reducao de escopo.</t>
  </si>
  <si>
    <t>Downsell responde por R$ 53.632 contra R$ 54.930 de churn. Downsell e um evento em conta VIVA, com CSM ativo. Se metade da perda acontece dentro de contas que voce ainda atende, o problema esta em gestao de valor no pos-venda, nao em retencao de contrato.</t>
  </si>
  <si>
    <t>Dos 25 clientes com CHURN registrado ate maio, 7 continuaram faturando depois.</t>
  </si>
  <si>
    <t>Ou seja, 28% do que esta rotulado como churn e na verdade cancelamento de MODULO dentro de conta ativa. Isso significa que sua taxa de churn de logo esta superestimada e sua taxa de downsell esta subestimada. Nos 16 downsells ate maio, 100% seguiram faturando, o que confirma que a classificacao tem ruido.</t>
  </si>
  <si>
    <t>Vistra BI nao tem churn cronico. Tem UM evento em fevereiro.</t>
  </si>
  <si>
    <t>A taxa mensal de 13,2% engana. Dos R$ 9.469 perdidos no produto, R$ 9.022 (95%) sairam em fev/26, em 8 contas de uma vez (5 downsells e 3 churns), e depois de mar/26 o produto nao teve mais nenhum evento. Isso nao e erosao organica, e uma decisao unica: mudanca de contrato, fim de bundle promocional ou reprecificacao. Descobrir o que aconteceu em fevereiro vale mais do que qualquer plano de retencao para o produto.</t>
  </si>
  <si>
    <t>O churn de VOLUME e o churn de VALOR estao em produtos diferentes.</t>
  </si>
  <si>
    <t>My Farm ERP concentra 21 dos 41 eventos de churn (51%) mas so 21,9% do valor perdido. Agrimanager ERP tem 9 eventos de churn e 60,9% do valor. Sao dois problemas distintos: no My Farm voce perde muitos clientes pequenos, o que pede processo e automacao; no Agrimanager voce perde poucas contas grandes, o que pede plano de conta nominal. Tratar os dois com o mesmo playbook nao vai funcionar.</t>
  </si>
  <si>
    <t>A perda e concentrada, nao difusa.</t>
  </si>
  <si>
    <t>Top 3 clientes = 35,7% da perda. Top 10 = 60,0%. Em linhas cliente x produto, o top 3 e 33,9%. Isso muda a resposta operacional: nao e um programa de retencao massificado que resolve, e um plano de conta para 10 a 15 nomes. SERIOS AGROPECUARIA (R$ 16.573) e CLODOVEU FRANCIOSI (R$ 15.629) sozinhos valem R$ 32.202.</t>
  </si>
  <si>
    <t>Dois clientes tiveram downsell em dois meses diferentes.</t>
  </si>
  <si>
    <t>SERIOS AGROPECUARIA (fev e mai) e SERRA BONITA SEMENTES (fev e mai). Downsell repetido no mesmo produto e o padrao classico de saida em duas etapas. Ambos merecem tratativa antes do proximo ciclo.</t>
  </si>
  <si>
    <t>Fevereiro e junho concentram 65% da perda do semestre.</t>
  </si>
  <si>
    <t>R$ 36.115 e R$ 34.761 contra R$ 157 em abril. Antes de chamar de sazonalidade de safra, vale checar se nao e efeito de janela de renovacao contratual ou de lote de registro no sistema. Com 6 meses e perdas concentradas em poucas contas grandes, nao ha serie suficiente para afirmar sazonalidade.</t>
  </si>
  <si>
    <t>As colunas Tipo e Motivo estao 100% vazias nas 13.856 linhas.</t>
  </si>
  <si>
    <t>Nao existe causa raiz registrada em nenhum evento de churn ou downsell. Toda a analise acima e sobre o QUANTO, nenhuma sobre o PORQUE. Enquanto isso nao for preenchido na origem, qualquer plano de retencao vai ser construido sobre suposicao.</t>
  </si>
  <si>
    <t>8.  PREMISSAS, TRATAMENTOS E RESSALVAS</t>
  </si>
  <si>
    <t>1) Soma COM SINAL, nao em modulo. 8 das 89 linhas de churn tem Variacao POSITIVA. Elas sao estorno de linhas de desconto negativas do faturamento anterior. Validado linha a linha: a soma com sinal do evento reproduz exatamente o faturamento do mes anterior (ex.: LUCAS BOLOGNINI STRACCI = R$ 1.040,32 em mai, e o churn de jun soma -R$ 1.040,32). Somar em modulo daria R$ 128.639 em vez de R$ 108.562 — R$ 20.077 de perda inexistente.</t>
  </si>
  <si>
    <t>2) Agrupamento conforme pedido: cliente (col. A) x produto (col. G). Dois pares tiveram evento em mais de um mes e foram colapsados em 1 linha; os meses ficam registrados na coluna Competencia(s) da aba Consolidado.</t>
  </si>
  <si>
    <t>3) 3 eventos com Variacao R$ 0,00 foram mantidos: sao eventos reais de churn/downsell sem impacto financeiro no mes. Contam na quantidade, nao no valor.</t>
  </si>
  <si>
    <t>4) MRR base = soma da coluna "valor" por competencia no arquivo integral (nao apenas nas linhas filtradas). Jan/26 tem 493 linhas e mai/26 tem 276 linhas com valor vazio, tratadas como zero. Se essas linhas tinham valor, o MRR desses meses esta subestimado e a queda real da base e maior, nao menor.</t>
  </si>
  <si>
    <t>5) Jun/26 tem 28 linhas de churn com valor vazio e 1.667 linhas contra 2.840 em jan. A contagem de clientes e contratos e estavel (484 e 519), entao a queda de linhas e consolidacao de itens de faturamento, nao perda de base. Ainda assim, trate jun/26 como competencia possivelmente em aberto.</t>
  </si>
  <si>
    <t>6) NRR do semestre nao inclui novos logos (NewMRR de R$ 44.901), por definicao. O NRR mede o comportamento da base existente.</t>
  </si>
  <si>
    <t>7) Fonte unica: Produtor__Rural_-_Lista_YTD_06-2026.xlsx, aba Planilha1, 13.856 linhas, vertical PRODUTORES AGRICOLAS, competencias 01/2026 a 06/2026. Nenhum valor foi digitado a mao nas abas de calculo; tudo referencia Base_Tratada ou Dados_Origem.</t>
  </si>
  <si>
    <t>BASE TRATADA — 89 linhas originais com STATUS = Churn ou Downsell</t>
  </si>
  <si>
    <t>Linhas exatamente como na origem, sem alteração de valores. Colunas E, J e K são derivadas para permitir as fórmulas das outras abas.</t>
  </si>
  <si>
    <t>Contrato</t>
  </si>
  <si>
    <t>Competência</t>
  </si>
  <si>
    <t>Mês</t>
  </si>
  <si>
    <t>Variação (R$)</t>
  </si>
  <si>
    <t>Valor faturado (R$)</t>
  </si>
  <si>
    <t>Tipo de linha</t>
  </si>
  <si>
    <t>Evento único</t>
  </si>
  <si>
    <t>2026-02</t>
  </si>
  <si>
    <t>Perda de receita (-)</t>
  </si>
  <si>
    <t>Estorno de linha negativa (+)</t>
  </si>
  <si>
    <t>2026-01</t>
  </si>
  <si>
    <t>2026-03</t>
  </si>
  <si>
    <t>Evento sem impacto financeiro</t>
  </si>
  <si>
    <t>2026-05</t>
  </si>
  <si>
    <t>2026-04</t>
  </si>
  <si>
    <t>2026-06</t>
  </si>
  <si>
    <t>DADOS DE ORIGEM — movimentação completa do MRR e base faturada</t>
  </si>
  <si>
    <t>Valores em AZUL são inputs extraídos direto do arquivo original (soma da coluna Variacao por competência x STATUS, e soma da coluna valor por competência). Não são calculados aqui.</t>
  </si>
  <si>
    <t>NewMRR</t>
  </si>
  <si>
    <t>Sem alteração</t>
  </si>
  <si>
    <t>MRR base faturado</t>
  </si>
  <si>
    <t>Clientes na base</t>
  </si>
  <si>
    <t>Fonte: Produtor__Rural_-_Lista_YTD_06-2026.xlsx (aba Planilha1). MRR base = soma da coluna "valor" na competência; linhas com valor vazio contam como zero (jan/26 tem 493 linhas vazias, mai/26 tem 276 — ver Notas).</t>
  </si>
  <si>
    <t>Não encontrou valor na solução</t>
  </si>
  <si>
    <t>Baixa adoção / não uso / falta de mão obra</t>
  </si>
  <si>
    <t>problemas financeiros</t>
  </si>
  <si>
    <t>Sem informações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</si>
</sst>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[Red]\(#,##0\);\—"/>
    <numFmt numFmtId="165" formatCode="&quot;R$ &quot;#,##0.00;[Red]&quot;(R$ &quot;#,##0.00\);\—"/>
    <numFmt numFmtId="166" formatCode="0.0%;[Red]\(0.0%\);\—"/>
    <numFmt numFmtId="167" formatCode="&quot;R$ &quot;#,##0;[Red]&quot;(R$ &quot;#,##0\);\—"/>
    <numFmt numFmtId="168" formatCode="mmm\-yy"/>
  </numFmts>
  <fonts count="28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ED7D31"/>
      <name val="Arial"/>
      <charset val="1"/>
    </font>
    <font>
      <b/>
      <sz val="10"/>
      <color rgb="FF006100"/>
      <name val="Arial"/>
      <charset val="1"/>
    </font>
    <font>
      <b/>
      <sz val="10"/>
      <color rgb="FF595959"/>
      <name val="Arial"/>
      <charset val="1"/>
    </font>
    <font>
      <i/>
      <sz val="10"/>
      <color rgb="FF808080"/>
      <name val="Arial"/>
      <charset val="1"/>
    </font>
    <font>
      <b/>
      <sz val="10"/>
      <color rgb="FFC00000"/>
      <name val="Arial"/>
      <charset val="1"/>
    </font>
    <font>
      <b/>
      <sz val="10"/>
      <color rgb="FF9C0006"/>
      <name val="Arial"/>
      <charset val="1"/>
    </font>
    <font>
      <b/>
      <sz val="10"/>
      <color rgb="FF9C5700"/>
      <name val="Arial"/>
      <charset val="1"/>
    </font>
    <font>
      <b/>
      <sz val="10"/>
      <color rgb="FF1F4E79"/>
      <name val="Arial"/>
      <charset val="1"/>
    </font>
    <font>
      <b/>
      <sz val="10"/>
      <name val="Arial"/>
      <charset val="1"/>
    </font>
    <font>
      <sz val="9"/>
      <color rgb="FF404040"/>
      <name val="Arial"/>
      <charset val="1"/>
    </font>
    <font>
      <sz val="9"/>
      <color rgb="FFC00000"/>
      <name val="Arial"/>
      <charset val="1"/>
    </font>
    <font>
      <sz val="9"/>
      <color rgb="FF1F4E79"/>
      <name val="Arial"/>
      <charset val="1"/>
    </font>
    <font>
      <sz val="10"/>
      <name val="Arial"/>
      <family val="2"/>
    </font>
    <font>
      <b/>
      <sz val="15"/>
      <color rgb="FF1F3864"/>
      <name val="Arial"/>
      <charset val="1"/>
    </font>
    <font>
      <b/>
      <sz val="11"/>
      <color rgb="FFFFFFFF"/>
      <name val="Arial"/>
      <charset val="1"/>
    </font>
    <font>
      <i/>
      <sz val="8"/>
      <color rgb="FF595959"/>
      <name val="Arial"/>
      <charset val="1"/>
    </font>
    <font>
      <b/>
      <sz val="10"/>
      <color rgb="FF1F3864"/>
      <name val="Arial"/>
      <charset val="1"/>
    </font>
    <font>
      <sz val="9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sz val="10"/>
      <name val="Arial"/>
    </font>
    <font>
      <b/>
      <sz val="10"/>
      <color rgb="FF006100"/>
      <name val="Arial"/>
    </font>
    <font>
      <b/>
      <sz val="10"/>
      <color rgb="FF9C0006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C6EFCE"/>
        <bgColor rgb="FFDCE6F1"/>
      </patternFill>
    </fill>
    <fill>
      <patternFill patternType="solid">
        <fgColor rgb="FFE7E6E6"/>
        <bgColor rgb="FFEDEDED"/>
      </patternFill>
    </fill>
    <fill>
      <patternFill patternType="solid">
        <fgColor rgb="FFF2F2F2"/>
        <bgColor rgb="FFEDEDED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2CC"/>
      </patternFill>
    </fill>
    <fill>
      <patternFill patternType="solid">
        <fgColor rgb="FFDDEBF7"/>
        <bgColor rgb="FFDCE6F1"/>
      </patternFill>
    </fill>
    <fill>
      <patternFill patternType="solid">
        <fgColor rgb="FFDCE6F1"/>
        <bgColor rgb="FFDDEBF7"/>
      </patternFill>
    </fill>
    <fill>
      <patternFill patternType="solid">
        <fgColor rgb="FF2E5FA3"/>
        <bgColor rgb="FF1F4E79"/>
      </patternFill>
    </fill>
    <fill>
      <patternFill patternType="solid">
        <fgColor rgb="FFFFF2CC"/>
        <bgColor rgb="FFF2F2F2"/>
      </patternFill>
    </fill>
    <fill>
      <patternFill patternType="solid">
        <fgColor rgb="FFEDEDED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14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5" fontId="4" fillId="0" borderId="1" xfId="0" applyNumberFormat="1" applyFont="1" applyBorder="1"/>
    <xf numFmtId="166" fontId="4" fillId="0" borderId="1" xfId="0" applyNumberFormat="1" applyFont="1" applyBorder="1"/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/>
    <xf numFmtId="164" fontId="4" fillId="5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165" fontId="4" fillId="5" borderId="1" xfId="0" applyNumberFormat="1" applyFont="1" applyFill="1" applyBorder="1"/>
    <xf numFmtId="166" fontId="4" fillId="5" borderId="1" xfId="0" applyNumberFormat="1" applyFont="1" applyFill="1" applyBorder="1"/>
    <xf numFmtId="0" fontId="4" fillId="5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 wrapText="1"/>
    </xf>
    <xf numFmtId="0" fontId="13" fillId="9" borderId="1" xfId="0" applyFont="1" applyFill="1" applyBorder="1"/>
    <xf numFmtId="164" fontId="13" fillId="9" borderId="1" xfId="0" applyNumberFormat="1" applyFont="1" applyFill="1" applyBorder="1" applyAlignment="1">
      <alignment horizontal="center"/>
    </xf>
    <xf numFmtId="0" fontId="13" fillId="9" borderId="1" xfId="0" applyFont="1" applyFill="1" applyBorder="1" applyAlignment="1">
      <alignment horizontal="center"/>
    </xf>
    <xf numFmtId="165" fontId="13" fillId="9" borderId="1" xfId="0" applyNumberFormat="1" applyFont="1" applyFill="1" applyBorder="1"/>
    <xf numFmtId="166" fontId="13" fillId="9" borderId="1" xfId="0" applyNumberFormat="1" applyFont="1" applyFill="1" applyBorder="1"/>
    <xf numFmtId="0" fontId="13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left" vertical="center" wrapText="1"/>
    </xf>
    <xf numFmtId="0" fontId="9" fillId="0" borderId="0" xfId="0" applyFont="1"/>
    <xf numFmtId="0" fontId="18" fillId="0" borderId="0" xfId="0" applyFont="1"/>
    <xf numFmtId="0" fontId="19" fillId="10" borderId="1" xfId="0" applyFont="1" applyFill="1" applyBorder="1"/>
    <xf numFmtId="0" fontId="0" fillId="10" borderId="1" xfId="0" applyFill="1" applyBorder="1"/>
    <xf numFmtId="0" fontId="13" fillId="5" borderId="1" xfId="0" applyFont="1" applyFill="1" applyBorder="1"/>
    <xf numFmtId="165" fontId="13" fillId="5" borderId="1" xfId="0" applyNumberFormat="1" applyFont="1" applyFill="1" applyBorder="1"/>
    <xf numFmtId="0" fontId="14" fillId="5" borderId="1" xfId="0" applyFont="1" applyFill="1" applyBorder="1" applyAlignment="1">
      <alignment vertical="center" wrapText="1"/>
    </xf>
    <xf numFmtId="165" fontId="13" fillId="0" borderId="1" xfId="0" applyNumberFormat="1" applyFont="1" applyBorder="1"/>
    <xf numFmtId="0" fontId="14" fillId="0" borderId="1" xfId="0" applyFont="1" applyBorder="1" applyAlignment="1">
      <alignment vertical="center" wrapText="1"/>
    </xf>
    <xf numFmtId="0" fontId="13" fillId="0" borderId="1" xfId="0" applyFont="1" applyBorder="1"/>
    <xf numFmtId="164" fontId="13" fillId="0" borderId="1" xfId="0" applyNumberFormat="1" applyFont="1" applyBorder="1"/>
    <xf numFmtId="164" fontId="13" fillId="5" borderId="1" xfId="0" applyNumberFormat="1" applyFont="1" applyFill="1" applyBorder="1"/>
    <xf numFmtId="166" fontId="13" fillId="5" borderId="1" xfId="0" applyNumberFormat="1" applyFont="1" applyFill="1" applyBorder="1"/>
    <xf numFmtId="166" fontId="13" fillId="0" borderId="1" xfId="0" applyNumberFormat="1" applyFont="1" applyBorder="1"/>
    <xf numFmtId="167" fontId="4" fillId="0" borderId="1" xfId="0" applyNumberFormat="1" applyFont="1" applyBorder="1"/>
    <xf numFmtId="166" fontId="4" fillId="0" borderId="1" xfId="0" applyNumberFormat="1" applyFont="1" applyBorder="1" applyAlignment="1">
      <alignment horizontal="center"/>
    </xf>
    <xf numFmtId="167" fontId="13" fillId="9" borderId="1" xfId="0" applyNumberFormat="1" applyFont="1" applyFill="1" applyBorder="1"/>
    <xf numFmtId="166" fontId="13" fillId="9" borderId="1" xfId="0" applyNumberFormat="1" applyFont="1" applyFill="1" applyBorder="1" applyAlignment="1">
      <alignment horizontal="center"/>
    </xf>
    <xf numFmtId="0" fontId="5" fillId="0" borderId="0" xfId="0" applyFont="1"/>
    <xf numFmtId="167" fontId="4" fillId="5" borderId="1" xfId="0" applyNumberFormat="1" applyFont="1" applyFill="1" applyBorder="1"/>
    <xf numFmtId="166" fontId="4" fillId="5" borderId="1" xfId="0" applyNumberFormat="1" applyFont="1" applyFill="1" applyBorder="1" applyAlignment="1">
      <alignment horizontal="center"/>
    </xf>
    <xf numFmtId="0" fontId="20" fillId="0" borderId="0" xfId="0" applyFont="1"/>
    <xf numFmtId="0" fontId="22" fillId="0" borderId="1" xfId="0" applyFont="1" applyBorder="1"/>
    <xf numFmtId="1" fontId="22" fillId="0" borderId="1" xfId="0" applyNumberFormat="1" applyFont="1" applyBorder="1" applyAlignment="1">
      <alignment horizontal="center"/>
    </xf>
    <xf numFmtId="168" fontId="22" fillId="0" borderId="1" xfId="0" applyNumberFormat="1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165" fontId="22" fillId="0" borderId="1" xfId="0" applyNumberFormat="1" applyFont="1" applyBorder="1"/>
    <xf numFmtId="0" fontId="22" fillId="11" borderId="1" xfId="0" applyFont="1" applyFill="1" applyBorder="1"/>
    <xf numFmtId="1" fontId="22" fillId="11" borderId="1" xfId="0" applyNumberFormat="1" applyFont="1" applyFill="1" applyBorder="1" applyAlignment="1">
      <alignment horizontal="center"/>
    </xf>
    <xf numFmtId="168" fontId="22" fillId="11" borderId="1" xfId="0" applyNumberFormat="1" applyFont="1" applyFill="1" applyBorder="1" applyAlignment="1">
      <alignment horizontal="center"/>
    </xf>
    <xf numFmtId="0" fontId="22" fillId="11" borderId="1" xfId="0" applyFont="1" applyFill="1" applyBorder="1" applyAlignment="1">
      <alignment horizontal="center"/>
    </xf>
    <xf numFmtId="165" fontId="22" fillId="11" borderId="1" xfId="0" applyNumberFormat="1" applyFont="1" applyFill="1" applyBorder="1"/>
    <xf numFmtId="0" fontId="22" fillId="12" borderId="1" xfId="0" applyFont="1" applyFill="1" applyBorder="1"/>
    <xf numFmtId="1" fontId="22" fillId="12" borderId="1" xfId="0" applyNumberFormat="1" applyFont="1" applyFill="1" applyBorder="1" applyAlignment="1">
      <alignment horizontal="center"/>
    </xf>
    <xf numFmtId="168" fontId="22" fillId="12" borderId="1" xfId="0" applyNumberFormat="1" applyFont="1" applyFill="1" applyBorder="1" applyAlignment="1">
      <alignment horizontal="center"/>
    </xf>
    <xf numFmtId="0" fontId="22" fillId="12" borderId="1" xfId="0" applyFont="1" applyFill="1" applyBorder="1" applyAlignment="1">
      <alignment horizontal="center"/>
    </xf>
    <xf numFmtId="165" fontId="22" fillId="12" borderId="1" xfId="0" applyNumberFormat="1" applyFont="1" applyFill="1" applyBorder="1"/>
    <xf numFmtId="0" fontId="23" fillId="0" borderId="1" xfId="0" applyFont="1" applyBorder="1" applyAlignment="1">
      <alignment horizontal="center"/>
    </xf>
    <xf numFmtId="167" fontId="24" fillId="0" borderId="1" xfId="0" applyNumberFormat="1" applyFont="1" applyBorder="1"/>
    <xf numFmtId="164" fontId="24" fillId="0" borderId="1" xfId="0" applyNumberFormat="1" applyFont="1" applyBorder="1"/>
    <xf numFmtId="167" fontId="13" fillId="0" borderId="1" xfId="0" applyNumberFormat="1" applyFont="1" applyBorder="1"/>
    <xf numFmtId="0" fontId="25" fillId="5" borderId="1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6" fillId="3" borderId="1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/>
    </xf>
    <xf numFmtId="0" fontId="2" fillId="0" borderId="0" xfId="0" applyFont="1"/>
    <xf numFmtId="0" fontId="14" fillId="0" borderId="0" xfId="0" applyFont="1" applyAlignment="1">
      <alignment vertical="top" wrapText="1"/>
    </xf>
    <xf numFmtId="0" fontId="15" fillId="0" borderId="0" xfId="0" applyFont="1" applyAlignment="1">
      <alignment vertical="top" wrapText="1"/>
    </xf>
    <xf numFmtId="0" fontId="16" fillId="0" borderId="0" xfId="0" applyFont="1" applyAlignment="1">
      <alignment vertical="top" wrapText="1"/>
    </xf>
    <xf numFmtId="0" fontId="9" fillId="0" borderId="0" xfId="0" applyFont="1"/>
    <xf numFmtId="0" fontId="5" fillId="0" borderId="0" xfId="0" applyFont="1"/>
    <xf numFmtId="0" fontId="2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2E5FA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6EFCE"/>
      <rgbColor rgb="FFFFEB9C"/>
      <rgbColor rgb="FFE7E6E6"/>
      <rgbColor rgb="FFEDEDED"/>
      <rgbColor rgb="FFF2F2F2"/>
      <rgbColor rgb="FFFFC7CE"/>
      <rgbColor rgb="FF4A7EBB"/>
      <rgbColor rgb="FF33CCCC"/>
      <rgbColor rgb="FF99CC00"/>
      <rgbColor rgb="FFFFCC00"/>
      <rgbColor rgb="FFFF9900"/>
      <rgbColor rgb="FFED7D31"/>
      <rgbColor rgb="FF595959"/>
      <rgbColor rgb="FF878787"/>
      <rgbColor rgb="FF1F3864"/>
      <rgbColor rgb="FF339966"/>
      <rgbColor rgb="FF003300"/>
      <rgbColor rgb="FF333300"/>
      <rgbColor rgb="FF9C5700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Perda por mes (R$) — Churn x Downsell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Analises!$B$20</c:f>
              <c:strCache>
                <c:ptCount val="1"/>
                <c:pt idx="0">
                  <c:v>Churn (R$)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Analises!$A$21:$A$26</c:f>
              <c:strCache>
                <c:ptCount val="6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</c:strCache>
            </c:strRef>
          </c:cat>
          <c:val>
            <c:numRef>
              <c:f>Analises!$B$21:$B$26</c:f>
              <c:numCache>
                <c:formatCode>"R$ "#,##0;[Red]"(R$ "#,##0\);\—</c:formatCode>
                <c:ptCount val="6"/>
                <c:pt idx="0">
                  <c:v>-5119.17</c:v>
                </c:pt>
                <c:pt idx="1">
                  <c:v>-13233.29</c:v>
                </c:pt>
                <c:pt idx="2">
                  <c:v>-4069.8698000000004</c:v>
                </c:pt>
                <c:pt idx="3">
                  <c:v>-157.28</c:v>
                </c:pt>
                <c:pt idx="4">
                  <c:v>-13849.484166667</c:v>
                </c:pt>
                <c:pt idx="5">
                  <c:v>-18501.309999999998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D5-4A15-ADAA-BF0587E57E81}"/>
            </c:ext>
          </c:extLst>
        </c:ser>
        <c:ser>
          <c:idx val="1"/>
          <c:order val="1"/>
          <c:tx>
            <c:strRef>
              <c:f>Analises!$C$20</c:f>
              <c:strCache>
                <c:ptCount val="1"/>
                <c:pt idx="0">
                  <c:v>Downsell (R$)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Analises!$A$21:$A$26</c:f>
              <c:strCache>
                <c:ptCount val="6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</c:strCache>
            </c:strRef>
          </c:cat>
          <c:val>
            <c:numRef>
              <c:f>Analises!$C$21:$C$26</c:f>
              <c:numCache>
                <c:formatCode>"R$ "#,##0;[Red]"(R$ "#,##0\);\—</c:formatCode>
                <c:ptCount val="6"/>
                <c:pt idx="0">
                  <c:v>-1693.5216666670001</c:v>
                </c:pt>
                <c:pt idx="1">
                  <c:v>-22881.82</c:v>
                </c:pt>
                <c:pt idx="2">
                  <c:v>-561.54</c:v>
                </c:pt>
                <c:pt idx="3">
                  <c:v>0</c:v>
                </c:pt>
                <c:pt idx="4">
                  <c:v>-12235.119999999999</c:v>
                </c:pt>
                <c:pt idx="5">
                  <c:v>-16259.92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D5-4A15-ADAA-BF0587E57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260818"/>
        <c:axId val="27400178"/>
      </c:barChart>
      <c:catAx>
        <c:axId val="6126081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400178"/>
        <c:crosses val="autoZero"/>
        <c:auto val="1"/>
        <c:lblAlgn val="ctr"/>
        <c:lblOffset val="100"/>
        <c:noMultiLvlLbl val="0"/>
      </c:catAx>
      <c:valAx>
        <c:axId val="274001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;[Red]&quot;(R$ &quot;#,##0\);\—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2608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Perda YTD por produto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Analises!$H$50</c:f>
              <c:strCache>
                <c:ptCount val="1"/>
                <c:pt idx="0">
                  <c:v>Total YTD</c:v>
                </c:pt>
              </c:strCache>
            </c:strRef>
          </c:tx>
          <c:spPr>
            <a:solidFill>
              <a:srgbClr val="2E5FA3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Analises!$A$51:$A$56</c:f>
              <c:strCache>
                <c:ptCount val="6"/>
                <c:pt idx="0">
                  <c:v>Agrimanager Algodoeira</c:v>
                </c:pt>
                <c:pt idx="1">
                  <c:v>Agrimanager Autorize</c:v>
                </c:pt>
                <c:pt idx="2">
                  <c:v>Agrimanager ERP</c:v>
                </c:pt>
                <c:pt idx="3">
                  <c:v>Aliare Cloud - PR</c:v>
                </c:pt>
                <c:pt idx="4">
                  <c:v>My Farm ERP</c:v>
                </c:pt>
                <c:pt idx="5">
                  <c:v>Vistra BI - PR</c:v>
                </c:pt>
              </c:strCache>
            </c:strRef>
          </c:cat>
          <c:val>
            <c:numRef>
              <c:f>Analises!$H$51:$H$56</c:f>
              <c:numCache>
                <c:formatCode>"R$ "#,##0;[Red]"(R$ "#,##0\);\—</c:formatCode>
                <c:ptCount val="6"/>
                <c:pt idx="0">
                  <c:v>-1926.9898000000001</c:v>
                </c:pt>
                <c:pt idx="1">
                  <c:v>-715.97</c:v>
                </c:pt>
                <c:pt idx="2">
                  <c:v>-66118.460000000006</c:v>
                </c:pt>
                <c:pt idx="3">
                  <c:v>-6572.07</c:v>
                </c:pt>
                <c:pt idx="4">
                  <c:v>-23759.445833333997</c:v>
                </c:pt>
                <c:pt idx="5">
                  <c:v>-9469.39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C2-48D9-A3E5-ADA9BBF9E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132847"/>
        <c:axId val="81421083"/>
      </c:barChart>
      <c:catAx>
        <c:axId val="23132847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421083"/>
        <c:crosses val="autoZero"/>
        <c:auto val="1"/>
        <c:lblAlgn val="ctr"/>
        <c:lblOffset val="100"/>
        <c:noMultiLvlLbl val="0"/>
      </c:catAx>
      <c:valAx>
        <c:axId val="8142108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;[Red]&quot;(R$ &quot;#,##0\);\—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1328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MRR base faturado por mes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Analises!$I$80</c:f>
              <c:strCache>
                <c:ptCount val="1"/>
                <c:pt idx="0">
                  <c:v>MRR base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Analises!$A$81:$A$86</c:f>
              <c:strCache>
                <c:ptCount val="6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</c:strCache>
            </c:strRef>
          </c:cat>
          <c:val>
            <c:numRef>
              <c:f>Analises!$I$81:$I$86</c:f>
              <c:numCache>
                <c:formatCode>"R$ "#,##0;[Red]"(R$ "#,##0\);\—</c:formatCode>
                <c:ptCount val="6"/>
                <c:pt idx="0">
                  <c:v>1325910.4623666699</c:v>
                </c:pt>
                <c:pt idx="1">
                  <c:v>1320291.60060001</c:v>
                </c:pt>
                <c:pt idx="2">
                  <c:v>1337681.5416333401</c:v>
                </c:pt>
                <c:pt idx="3">
                  <c:v>1340358.7933</c:v>
                </c:pt>
                <c:pt idx="4">
                  <c:v>1328960.3543333299</c:v>
                </c:pt>
                <c:pt idx="5">
                  <c:v>1299827.46433333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5CE-4F07-A881-FE992EC81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7129957"/>
        <c:axId val="36532795"/>
      </c:lineChart>
      <c:catAx>
        <c:axId val="2712995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532795"/>
        <c:crosses val="autoZero"/>
        <c:auto val="1"/>
        <c:lblAlgn val="ctr"/>
        <c:lblOffset val="100"/>
        <c:noMultiLvlLbl val="0"/>
      </c:catAx>
      <c:valAx>
        <c:axId val="36532795"/>
        <c:scaling>
          <c:orientation val="minMax"/>
          <c:max val="1360000"/>
          <c:min val="125000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;[Red]&quot;(R$ &quot;#,##0\);\—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1299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18</xdr:row>
      <xdr:rowOff>145440</xdr:rowOff>
    </xdr:from>
    <xdr:to>
      <xdr:col>17</xdr:col>
      <xdr:colOff>131400</xdr:colOff>
      <xdr:row>32</xdr:row>
      <xdr:rowOff>64800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48</xdr:row>
      <xdr:rowOff>33120</xdr:rowOff>
    </xdr:from>
    <xdr:to>
      <xdr:col>19</xdr:col>
      <xdr:colOff>506520</xdr:colOff>
      <xdr:row>61</xdr:row>
      <xdr:rowOff>142920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77</xdr:row>
      <xdr:rowOff>111240</xdr:rowOff>
    </xdr:from>
    <xdr:to>
      <xdr:col>18</xdr:col>
      <xdr:colOff>506520</xdr:colOff>
      <xdr:row>91</xdr:row>
      <xdr:rowOff>142920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82"/>
  <sheetViews>
    <sheetView showGridLines="0" tabSelected="1" zoomScaleNormal="100" workbookViewId="0">
      <pane ySplit="4" topLeftCell="A5" activePane="bottomLeft" state="frozen"/>
      <selection activeCell="B1" sqref="B1"/>
      <selection pane="bottomLeft" activeCell="A4" sqref="A4:O58"/>
    </sheetView>
  </sheetViews>
  <sheetFormatPr defaultColWidth="8.7265625" defaultRowHeight="14.5" x14ac:dyDescent="0.35"/>
  <cols>
    <col min="1" max="1" width="52" customWidth="1"/>
    <col min="2" max="2" width="13" customWidth="1"/>
    <col min="3" max="3" width="14" customWidth="1"/>
    <col min="4" max="4" width="23" customWidth="1"/>
    <col min="5" max="5" width="12" customWidth="1"/>
    <col min="6" max="6" width="20" customWidth="1"/>
    <col min="7" max="7" width="12" customWidth="1"/>
    <col min="8" max="9" width="17" customWidth="1"/>
    <col min="10" max="12" width="13" customWidth="1"/>
    <col min="13" max="13" width="18" customWidth="1"/>
    <col min="14" max="14" width="62" customWidth="1"/>
    <col min="15" max="15" width="34" customWidth="1"/>
  </cols>
  <sheetData>
    <row r="1" spans="1:15" ht="18" customHeight="1" x14ac:dyDescent="0.4">
      <c r="A1" s="2" t="s">
        <v>0</v>
      </c>
    </row>
    <row r="2" spans="1:15" ht="15" customHeight="1" x14ac:dyDescent="0.35">
      <c r="A2" s="81" t="s">
        <v>1</v>
      </c>
      <c r="B2" s="81"/>
      <c r="C2" s="81"/>
      <c r="D2" s="81"/>
      <c r="E2" s="81"/>
      <c r="F2" s="81"/>
      <c r="G2" s="81"/>
      <c r="H2" s="81"/>
      <c r="I2" s="81"/>
      <c r="J2" s="81"/>
      <c r="K2" s="3"/>
      <c r="L2" s="3"/>
    </row>
    <row r="4" spans="1:15" ht="30" customHeight="1" x14ac:dyDescent="0.3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</row>
    <row r="5" spans="1:15" ht="15" customHeight="1" x14ac:dyDescent="0.35">
      <c r="A5" s="6" t="s">
        <v>17</v>
      </c>
      <c r="B5" s="7">
        <v>30008363</v>
      </c>
      <c r="C5" s="6" t="s">
        <v>18</v>
      </c>
      <c r="D5" s="6" t="s">
        <v>19</v>
      </c>
      <c r="E5" s="8" t="s">
        <v>20</v>
      </c>
      <c r="F5" s="9" t="s">
        <v>21</v>
      </c>
      <c r="G5" s="7">
        <v>3</v>
      </c>
      <c r="H5" s="10">
        <f>SUMIFS(Base_Tratada!$H:$H,Base_Tratada!$A:$A,$A5,Base_Tratada!$G:$G,$D5)</f>
        <v>-16573.140000000003</v>
      </c>
      <c r="I5" s="10">
        <f t="shared" ref="I5:I36" si="0">-H5</f>
        <v>16573.140000000003</v>
      </c>
      <c r="J5" s="11">
        <f t="shared" ref="J5:J36" si="1">IFERROR(I5/$I$67,0)</f>
        <v>0.15266014156674651</v>
      </c>
      <c r="K5" s="11" t="s">
        <v>22</v>
      </c>
      <c r="L5" s="12" t="s">
        <v>22</v>
      </c>
      <c r="M5" s="79" t="s">
        <v>22</v>
      </c>
      <c r="N5" s="14" t="s">
        <v>23</v>
      </c>
      <c r="O5" s="15" t="s">
        <v>23</v>
      </c>
    </row>
    <row r="6" spans="1:15" ht="15" customHeight="1" x14ac:dyDescent="0.35">
      <c r="A6" s="16" t="s">
        <v>24</v>
      </c>
      <c r="B6" s="17">
        <v>30006916</v>
      </c>
      <c r="C6" s="16" t="s">
        <v>25</v>
      </c>
      <c r="D6" s="16" t="s">
        <v>19</v>
      </c>
      <c r="E6" s="18" t="s">
        <v>20</v>
      </c>
      <c r="F6" s="19" t="s">
        <v>26</v>
      </c>
      <c r="G6" s="17">
        <v>1</v>
      </c>
      <c r="H6" s="20">
        <f>SUMIFS(Base_Tratada!$H:$H,Base_Tratada!$A:$A,$A6,Base_Tratada!$G:$G,$D6)</f>
        <v>-13701.65</v>
      </c>
      <c r="I6" s="20">
        <f t="shared" si="0"/>
        <v>13701.65</v>
      </c>
      <c r="J6" s="21">
        <f t="shared" si="1"/>
        <v>0.12620998970008168</v>
      </c>
      <c r="K6" s="21" t="s">
        <v>22</v>
      </c>
      <c r="L6" s="12" t="s">
        <v>22</v>
      </c>
      <c r="M6" s="79" t="s">
        <v>22</v>
      </c>
      <c r="N6" s="22" t="s">
        <v>27</v>
      </c>
      <c r="O6" s="15" t="s">
        <v>28</v>
      </c>
    </row>
    <row r="7" spans="1:15" ht="15" customHeight="1" x14ac:dyDescent="0.35">
      <c r="A7" s="6" t="s">
        <v>29</v>
      </c>
      <c r="B7" s="7">
        <v>30005436</v>
      </c>
      <c r="C7" s="6" t="s">
        <v>30</v>
      </c>
      <c r="D7" s="6" t="s">
        <v>19</v>
      </c>
      <c r="E7" s="8" t="s">
        <v>20</v>
      </c>
      <c r="F7" s="9" t="s">
        <v>21</v>
      </c>
      <c r="G7" s="7">
        <v>2</v>
      </c>
      <c r="H7" s="10">
        <f>SUMIFS(Base_Tratada!$H:$H,Base_Tratada!$A:$A,$A7,Base_Tratada!$G:$G,$D7)</f>
        <v>-6532.9800000000005</v>
      </c>
      <c r="I7" s="10">
        <f t="shared" si="0"/>
        <v>6532.9800000000005</v>
      </c>
      <c r="J7" s="11">
        <f t="shared" si="1"/>
        <v>6.017722964101694E-2</v>
      </c>
      <c r="K7" s="11" t="s">
        <v>22</v>
      </c>
      <c r="L7" s="12" t="s">
        <v>22</v>
      </c>
      <c r="M7" s="79" t="s">
        <v>22</v>
      </c>
      <c r="N7" s="14" t="s">
        <v>31</v>
      </c>
      <c r="O7" s="14" t="s">
        <v>31</v>
      </c>
    </row>
    <row r="8" spans="1:15" ht="15" hidden="1" customHeight="1" x14ac:dyDescent="0.35">
      <c r="A8" s="16" t="s">
        <v>32</v>
      </c>
      <c r="B8" s="17">
        <v>30016958</v>
      </c>
      <c r="C8" s="16" t="s">
        <v>33</v>
      </c>
      <c r="D8" s="16" t="s">
        <v>34</v>
      </c>
      <c r="E8" s="18" t="s">
        <v>20</v>
      </c>
      <c r="F8" s="19" t="s">
        <v>35</v>
      </c>
      <c r="G8" s="17">
        <v>1</v>
      </c>
      <c r="H8" s="20">
        <f>SUMIFS(Base_Tratada!$H:$H,Base_Tratada!$A:$A,$A8,Base_Tratada!$G:$G,$D8)</f>
        <v>-4195.79</v>
      </c>
      <c r="I8" s="20">
        <f t="shared" si="0"/>
        <v>4195.79</v>
      </c>
      <c r="J8" s="21">
        <f t="shared" si="1"/>
        <v>3.864867462558931E-2</v>
      </c>
      <c r="K8" s="21"/>
      <c r="L8" s="12" t="s">
        <v>22</v>
      </c>
      <c r="M8" s="79" t="s">
        <v>22</v>
      </c>
      <c r="N8" s="22" t="s">
        <v>36</v>
      </c>
      <c r="O8" s="22" t="s">
        <v>37</v>
      </c>
    </row>
    <row r="9" spans="1:15" ht="34.5" customHeight="1" x14ac:dyDescent="0.35">
      <c r="A9" s="6" t="s">
        <v>38</v>
      </c>
      <c r="B9" s="7">
        <v>30007727</v>
      </c>
      <c r="C9" s="6" t="s">
        <v>39</v>
      </c>
      <c r="D9" s="6" t="s">
        <v>19</v>
      </c>
      <c r="E9" s="23" t="s">
        <v>40</v>
      </c>
      <c r="F9" s="9" t="s">
        <v>41</v>
      </c>
      <c r="G9" s="7">
        <v>5</v>
      </c>
      <c r="H9" s="10">
        <f>SUMIFS(Base_Tratada!$H:$H,Base_Tratada!$A:$A,$A9,Base_Tratada!$G:$G,$D9)</f>
        <v>-4170.46</v>
      </c>
      <c r="I9" s="10">
        <f t="shared" si="0"/>
        <v>4170.46</v>
      </c>
      <c r="J9" s="11">
        <f t="shared" si="1"/>
        <v>3.8415352431612447E-2</v>
      </c>
      <c r="K9" s="11" t="s">
        <v>22</v>
      </c>
      <c r="L9" s="12" t="s">
        <v>22</v>
      </c>
      <c r="M9" s="79" t="s">
        <v>22</v>
      </c>
      <c r="N9" s="14" t="s">
        <v>42</v>
      </c>
      <c r="O9" s="78" t="s">
        <v>43</v>
      </c>
    </row>
    <row r="10" spans="1:15" ht="15" customHeight="1" x14ac:dyDescent="0.35">
      <c r="A10" s="16" t="s">
        <v>44</v>
      </c>
      <c r="B10" s="17">
        <v>30015024</v>
      </c>
      <c r="C10" s="16" t="s">
        <v>45</v>
      </c>
      <c r="D10" s="16" t="s">
        <v>19</v>
      </c>
      <c r="E10" s="24" t="s">
        <v>40</v>
      </c>
      <c r="F10" s="19" t="s">
        <v>26</v>
      </c>
      <c r="G10" s="17">
        <v>3</v>
      </c>
      <c r="H10" s="20">
        <f>SUMIFS(Base_Tratada!$H:$H,Base_Tratada!$A:$A,$A10,Base_Tratada!$G:$G,$D10)</f>
        <v>-4010.6899999999996</v>
      </c>
      <c r="I10" s="20">
        <f t="shared" si="0"/>
        <v>4010.6899999999996</v>
      </c>
      <c r="J10" s="21">
        <f t="shared" si="1"/>
        <v>3.6943663251522305E-2</v>
      </c>
      <c r="K10" s="11" t="s">
        <v>22</v>
      </c>
      <c r="L10" s="12" t="s">
        <v>22</v>
      </c>
      <c r="M10" s="13" t="s">
        <v>22</v>
      </c>
      <c r="N10" s="22" t="s">
        <v>46</v>
      </c>
      <c r="O10" s="22" t="s">
        <v>47</v>
      </c>
    </row>
    <row r="11" spans="1:15" ht="15" customHeight="1" x14ac:dyDescent="0.35">
      <c r="A11" s="6" t="s">
        <v>48</v>
      </c>
      <c r="B11" s="7">
        <v>30009772</v>
      </c>
      <c r="C11" s="6" t="s">
        <v>49</v>
      </c>
      <c r="D11" s="6" t="s">
        <v>19</v>
      </c>
      <c r="E11" s="23" t="s">
        <v>40</v>
      </c>
      <c r="F11" s="9" t="s">
        <v>35</v>
      </c>
      <c r="G11" s="7">
        <v>2</v>
      </c>
      <c r="H11" s="10">
        <f>SUMIFS(Base_Tratada!$H:$H,Base_Tratada!$A:$A,$A11,Base_Tratada!$G:$G,$D11)</f>
        <v>-3408.3999999999996</v>
      </c>
      <c r="I11" s="10">
        <f t="shared" si="0"/>
        <v>3408.3999999999996</v>
      </c>
      <c r="J11" s="11">
        <f t="shared" si="1"/>
        <v>3.1395790207293162E-2</v>
      </c>
      <c r="K11" s="11" t="s">
        <v>22</v>
      </c>
      <c r="L11" s="12" t="s">
        <v>22</v>
      </c>
      <c r="M11" s="13" t="s">
        <v>22</v>
      </c>
      <c r="N11" s="14" t="s">
        <v>50</v>
      </c>
      <c r="O11" s="78" t="s">
        <v>51</v>
      </c>
    </row>
    <row r="12" spans="1:15" ht="15" hidden="1" customHeight="1" x14ac:dyDescent="0.35">
      <c r="A12" s="16" t="s">
        <v>52</v>
      </c>
      <c r="B12" s="17">
        <v>30013024</v>
      </c>
      <c r="C12" s="16" t="s">
        <v>53</v>
      </c>
      <c r="D12" s="16" t="s">
        <v>19</v>
      </c>
      <c r="E12" s="24" t="s">
        <v>40</v>
      </c>
      <c r="F12" s="19" t="s">
        <v>41</v>
      </c>
      <c r="G12" s="17">
        <v>2</v>
      </c>
      <c r="H12" s="20">
        <f>SUMIFS(Base_Tratada!$H:$H,Base_Tratada!$A:$A,$A12,Base_Tratada!$G:$G,$D12)</f>
        <v>-3117.15</v>
      </c>
      <c r="I12" s="20">
        <f t="shared" si="0"/>
        <v>3117.15</v>
      </c>
      <c r="J12" s="21">
        <f t="shared" si="1"/>
        <v>2.8712999484997039E-2</v>
      </c>
      <c r="K12" s="11"/>
      <c r="L12" s="25" t="s">
        <v>54</v>
      </c>
      <c r="M12" s="13" t="s">
        <v>22</v>
      </c>
      <c r="N12" s="22" t="s">
        <v>55</v>
      </c>
      <c r="O12" s="15" t="s">
        <v>56</v>
      </c>
    </row>
    <row r="13" spans="1:15" ht="15" customHeight="1" x14ac:dyDescent="0.35">
      <c r="A13" s="6" t="s">
        <v>57</v>
      </c>
      <c r="B13" s="7">
        <v>30006687</v>
      </c>
      <c r="C13" s="6" t="s">
        <v>58</v>
      </c>
      <c r="D13" s="6" t="s">
        <v>59</v>
      </c>
      <c r="E13" s="23" t="s">
        <v>40</v>
      </c>
      <c r="F13" s="9" t="s">
        <v>35</v>
      </c>
      <c r="G13" s="7">
        <v>1</v>
      </c>
      <c r="H13" s="10">
        <f>SUMIFS(Base_Tratada!$H:$H,Base_Tratada!$A:$A,$A13,Base_Tratada!$G:$G,$D13)</f>
        <v>-3046.65</v>
      </c>
      <c r="I13" s="10">
        <f t="shared" si="0"/>
        <v>3046.65</v>
      </c>
      <c r="J13" s="11">
        <f t="shared" si="1"/>
        <v>2.8063602932475569E-2</v>
      </c>
      <c r="K13" s="11" t="s">
        <v>22</v>
      </c>
      <c r="L13" s="12" t="s">
        <v>22</v>
      </c>
      <c r="M13" s="13" t="s">
        <v>22</v>
      </c>
      <c r="N13" s="14" t="s">
        <v>60</v>
      </c>
      <c r="O13" s="77" t="s">
        <v>47</v>
      </c>
    </row>
    <row r="14" spans="1:15" ht="37.5" x14ac:dyDescent="0.35">
      <c r="A14" s="16" t="s">
        <v>61</v>
      </c>
      <c r="B14" s="17">
        <v>30018439</v>
      </c>
      <c r="C14" s="16" t="s">
        <v>62</v>
      </c>
      <c r="D14" s="16" t="s">
        <v>34</v>
      </c>
      <c r="E14" s="24" t="s">
        <v>40</v>
      </c>
      <c r="F14" s="19" t="s">
        <v>35</v>
      </c>
      <c r="G14" s="17">
        <v>1</v>
      </c>
      <c r="H14" s="20">
        <f>SUMIFS(Base_Tratada!$H:$H,Base_Tratada!$A:$A,$A14,Base_Tratada!$G:$G,$D14)</f>
        <v>-2775.55</v>
      </c>
      <c r="I14" s="20">
        <f t="shared" si="0"/>
        <v>2775.55</v>
      </c>
      <c r="J14" s="21">
        <f t="shared" si="1"/>
        <v>2.5566419877318555E-2</v>
      </c>
      <c r="K14" s="11" t="s">
        <v>22</v>
      </c>
      <c r="L14" s="12" t="s">
        <v>22</v>
      </c>
      <c r="M14" s="79" t="s">
        <v>22</v>
      </c>
      <c r="N14" s="22" t="s">
        <v>63</v>
      </c>
      <c r="O14" s="77" t="s">
        <v>64</v>
      </c>
    </row>
    <row r="15" spans="1:15" ht="15" customHeight="1" x14ac:dyDescent="0.35">
      <c r="A15" s="6" t="s">
        <v>65</v>
      </c>
      <c r="B15" s="7">
        <v>30010916</v>
      </c>
      <c r="C15" s="6" t="s">
        <v>66</v>
      </c>
      <c r="D15" s="6" t="s">
        <v>19</v>
      </c>
      <c r="E15" s="23" t="s">
        <v>40</v>
      </c>
      <c r="F15" s="9" t="s">
        <v>26</v>
      </c>
      <c r="G15" s="7">
        <v>2</v>
      </c>
      <c r="H15" s="10">
        <f>SUMIFS(Base_Tratada!$H:$H,Base_Tratada!$A:$A,$A15,Base_Tratada!$G:$G,$D15)</f>
        <v>-2243.46</v>
      </c>
      <c r="I15" s="10">
        <f t="shared" si="0"/>
        <v>2243.46</v>
      </c>
      <c r="J15" s="11">
        <f t="shared" si="1"/>
        <v>2.0665179996025681E-2</v>
      </c>
      <c r="K15" s="11" t="s">
        <v>22</v>
      </c>
      <c r="L15" s="12" t="s">
        <v>22</v>
      </c>
      <c r="M15" s="26" t="s">
        <v>67</v>
      </c>
      <c r="N15" s="14" t="s">
        <v>68</v>
      </c>
      <c r="O15" s="15" t="s">
        <v>23</v>
      </c>
    </row>
    <row r="16" spans="1:15" ht="15" customHeight="1" x14ac:dyDescent="0.35">
      <c r="A16" s="16" t="s">
        <v>70</v>
      </c>
      <c r="B16" s="17">
        <v>30016194</v>
      </c>
      <c r="C16" s="16" t="s">
        <v>71</v>
      </c>
      <c r="D16" s="16" t="s">
        <v>19</v>
      </c>
      <c r="E16" s="24" t="s">
        <v>40</v>
      </c>
      <c r="F16" s="19" t="s">
        <v>26</v>
      </c>
      <c r="G16" s="17">
        <v>1</v>
      </c>
      <c r="H16" s="20">
        <f>SUMIFS(Base_Tratada!$H:$H,Base_Tratada!$A:$A,$A16,Base_Tratada!$G:$G,$D16)</f>
        <v>-2150.61</v>
      </c>
      <c r="I16" s="20">
        <f t="shared" si="0"/>
        <v>2150.61</v>
      </c>
      <c r="J16" s="21">
        <f t="shared" si="1"/>
        <v>1.9809910919406985E-2</v>
      </c>
      <c r="K16" s="11" t="s">
        <v>22</v>
      </c>
      <c r="L16" s="12" t="s">
        <v>22</v>
      </c>
      <c r="M16" s="79" t="s">
        <v>22</v>
      </c>
      <c r="N16" s="22" t="s">
        <v>72</v>
      </c>
      <c r="O16" s="22" t="s">
        <v>73</v>
      </c>
    </row>
    <row r="17" spans="1:15" ht="15" customHeight="1" x14ac:dyDescent="0.35">
      <c r="A17" s="6" t="s">
        <v>74</v>
      </c>
      <c r="B17" s="7">
        <v>30016155</v>
      </c>
      <c r="C17" s="6" t="s">
        <v>75</v>
      </c>
      <c r="D17" s="6" t="s">
        <v>19</v>
      </c>
      <c r="E17" s="23" t="s">
        <v>40</v>
      </c>
      <c r="F17" s="9" t="s">
        <v>35</v>
      </c>
      <c r="G17" s="7">
        <v>1</v>
      </c>
      <c r="H17" s="10">
        <f>SUMIFS(Base_Tratada!$H:$H,Base_Tratada!$A:$A,$A17,Base_Tratada!$G:$G,$D17)</f>
        <v>-2110.81</v>
      </c>
      <c r="I17" s="10">
        <f t="shared" si="0"/>
        <v>2110.81</v>
      </c>
      <c r="J17" s="11">
        <f t="shared" si="1"/>
        <v>1.9443301234437417E-2</v>
      </c>
      <c r="K17" s="11" t="s">
        <v>22</v>
      </c>
      <c r="L17" s="12" t="s">
        <v>22</v>
      </c>
      <c r="M17" s="13" t="s">
        <v>76</v>
      </c>
      <c r="N17" s="14" t="s">
        <v>77</v>
      </c>
      <c r="O17" s="15" t="s">
        <v>23</v>
      </c>
    </row>
    <row r="18" spans="1:15" ht="15" customHeight="1" x14ac:dyDescent="0.35">
      <c r="A18" s="16" t="s">
        <v>24</v>
      </c>
      <c r="B18" s="17">
        <v>30006916</v>
      </c>
      <c r="C18" s="16" t="s">
        <v>25</v>
      </c>
      <c r="D18" s="16" t="s">
        <v>79</v>
      </c>
      <c r="E18" s="24" t="s">
        <v>40</v>
      </c>
      <c r="F18" s="19" t="s">
        <v>80</v>
      </c>
      <c r="G18" s="17">
        <v>1</v>
      </c>
      <c r="H18" s="20">
        <f>SUMIFS(Base_Tratada!$H:$H,Base_Tratada!$A:$A,$A18,Base_Tratada!$G:$G,$D18)</f>
        <v>-1926.9898000000001</v>
      </c>
      <c r="I18" s="20">
        <f t="shared" si="0"/>
        <v>1926.9898000000001</v>
      </c>
      <c r="J18" s="21">
        <f t="shared" si="1"/>
        <v>1.775007848034087E-2</v>
      </c>
      <c r="K18" s="11" t="s">
        <v>22</v>
      </c>
      <c r="L18" s="12" t="s">
        <v>22</v>
      </c>
      <c r="M18" s="13" t="s">
        <v>22</v>
      </c>
      <c r="N18" s="22" t="s">
        <v>23</v>
      </c>
      <c r="O18" s="15" t="s">
        <v>23</v>
      </c>
    </row>
    <row r="19" spans="1:15" ht="15" customHeight="1" x14ac:dyDescent="0.35">
      <c r="A19" s="6" t="s">
        <v>81</v>
      </c>
      <c r="B19" s="7">
        <v>30010348</v>
      </c>
      <c r="C19" s="6" t="s">
        <v>82</v>
      </c>
      <c r="D19" s="6" t="s">
        <v>59</v>
      </c>
      <c r="E19" s="23" t="s">
        <v>40</v>
      </c>
      <c r="F19" s="9" t="s">
        <v>83</v>
      </c>
      <c r="G19" s="7">
        <v>1</v>
      </c>
      <c r="H19" s="10">
        <f>SUMIFS(Base_Tratada!$H:$H,Base_Tratada!$A:$A,$A19,Base_Tratada!$G:$G,$D19)</f>
        <v>-1875.06</v>
      </c>
      <c r="I19" s="10">
        <f t="shared" si="0"/>
        <v>1875.06</v>
      </c>
      <c r="J19" s="11">
        <f t="shared" si="1"/>
        <v>1.7271737585402864E-2</v>
      </c>
      <c r="K19" s="11" t="s">
        <v>22</v>
      </c>
      <c r="L19" s="12" t="s">
        <v>22</v>
      </c>
      <c r="M19" s="12" t="s">
        <v>54</v>
      </c>
      <c r="N19" s="14" t="s">
        <v>84</v>
      </c>
      <c r="O19" s="15" t="s">
        <v>23</v>
      </c>
    </row>
    <row r="20" spans="1:15" ht="26.25" customHeight="1" x14ac:dyDescent="0.35">
      <c r="A20" s="16" t="s">
        <v>85</v>
      </c>
      <c r="B20" s="17">
        <v>30010824</v>
      </c>
      <c r="C20" s="16" t="s">
        <v>86</v>
      </c>
      <c r="D20" s="16" t="s">
        <v>87</v>
      </c>
      <c r="E20" s="18" t="s">
        <v>20</v>
      </c>
      <c r="F20" s="19" t="s">
        <v>41</v>
      </c>
      <c r="G20" s="17">
        <v>1</v>
      </c>
      <c r="H20" s="20">
        <f>SUMIFS(Base_Tratada!$H:$H,Base_Tratada!$A:$A,$A20,Base_Tratada!$G:$G,$D20)</f>
        <v>-1865.58</v>
      </c>
      <c r="I20" s="20">
        <f t="shared" si="0"/>
        <v>1865.58</v>
      </c>
      <c r="J20" s="21">
        <f t="shared" si="1"/>
        <v>1.7184414474510617E-2</v>
      </c>
      <c r="K20" s="21" t="s">
        <v>22</v>
      </c>
      <c r="L20" s="25" t="s">
        <v>54</v>
      </c>
      <c r="M20" s="13" t="s">
        <v>88</v>
      </c>
      <c r="N20" s="22" t="s">
        <v>89</v>
      </c>
      <c r="O20" s="15" t="s">
        <v>358</v>
      </c>
    </row>
    <row r="21" spans="1:15" ht="15" customHeight="1" x14ac:dyDescent="0.35">
      <c r="A21" s="6" t="s">
        <v>90</v>
      </c>
      <c r="B21" s="7">
        <v>30010978</v>
      </c>
      <c r="C21" s="6" t="s">
        <v>91</v>
      </c>
      <c r="D21" s="6" t="s">
        <v>19</v>
      </c>
      <c r="E21" s="8" t="s">
        <v>20</v>
      </c>
      <c r="F21" s="9" t="s">
        <v>83</v>
      </c>
      <c r="G21" s="7">
        <v>1</v>
      </c>
      <c r="H21" s="10">
        <f>SUMIFS(Base_Tratada!$H:$H,Base_Tratada!$A:$A,$A21,Base_Tratada!$G:$G,$D21)</f>
        <v>-1657.47</v>
      </c>
      <c r="I21" s="10">
        <f t="shared" si="0"/>
        <v>1657.47</v>
      </c>
      <c r="J21" s="11">
        <f t="shared" si="1"/>
        <v>1.5267451119258951E-2</v>
      </c>
      <c r="K21" s="11" t="s">
        <v>22</v>
      </c>
      <c r="L21" s="12" t="s">
        <v>22</v>
      </c>
      <c r="M21" s="79" t="s">
        <v>22</v>
      </c>
      <c r="N21" s="14" t="s">
        <v>92</v>
      </c>
      <c r="O21" s="78" t="s">
        <v>359</v>
      </c>
    </row>
    <row r="22" spans="1:15" ht="15" customHeight="1" x14ac:dyDescent="0.35">
      <c r="A22" s="16" t="s">
        <v>93</v>
      </c>
      <c r="B22" s="17">
        <v>20000027</v>
      </c>
      <c r="C22" s="16" t="s">
        <v>94</v>
      </c>
      <c r="D22" s="16" t="s">
        <v>87</v>
      </c>
      <c r="E22" s="24" t="s">
        <v>40</v>
      </c>
      <c r="F22" s="19" t="s">
        <v>41</v>
      </c>
      <c r="G22" s="17">
        <v>1</v>
      </c>
      <c r="H22" s="20">
        <f>SUMIFS(Base_Tratada!$H:$H,Base_Tratada!$A:$A,$A22,Base_Tratada!$G:$G,$D22)</f>
        <v>-1655.56</v>
      </c>
      <c r="I22" s="20">
        <f t="shared" si="0"/>
        <v>1655.56</v>
      </c>
      <c r="J22" s="21">
        <f t="shared" si="1"/>
        <v>1.5249857538899857E-2</v>
      </c>
      <c r="K22" s="11" t="s">
        <v>22</v>
      </c>
      <c r="L22" s="12" t="s">
        <v>22</v>
      </c>
      <c r="M22" s="79" t="s">
        <v>22</v>
      </c>
      <c r="N22" s="22" t="s">
        <v>95</v>
      </c>
      <c r="O22" s="15" t="s">
        <v>360</v>
      </c>
    </row>
    <row r="23" spans="1:15" ht="15" customHeight="1" x14ac:dyDescent="0.35">
      <c r="A23" s="6" t="s">
        <v>44</v>
      </c>
      <c r="B23" s="7">
        <v>30015024</v>
      </c>
      <c r="C23" s="6" t="s">
        <v>45</v>
      </c>
      <c r="D23" s="6" t="s">
        <v>59</v>
      </c>
      <c r="E23" s="23" t="s">
        <v>40</v>
      </c>
      <c r="F23" s="9" t="s">
        <v>26</v>
      </c>
      <c r="G23" s="7">
        <v>3</v>
      </c>
      <c r="H23" s="10">
        <f>SUMIFS(Base_Tratada!$H:$H,Base_Tratada!$A:$A,$A23,Base_Tratada!$G:$G,$D23)</f>
        <v>-1650.3600000000001</v>
      </c>
      <c r="I23" s="10">
        <f t="shared" si="0"/>
        <v>1650.3600000000001</v>
      </c>
      <c r="J23" s="11">
        <f t="shared" si="1"/>
        <v>1.5201958786089766E-2</v>
      </c>
      <c r="K23" s="11" t="s">
        <v>22</v>
      </c>
      <c r="L23" s="12" t="s">
        <v>22</v>
      </c>
      <c r="M23" s="79" t="s">
        <v>22</v>
      </c>
      <c r="N23" s="14" t="s">
        <v>46</v>
      </c>
      <c r="O23" s="14" t="s">
        <v>360</v>
      </c>
    </row>
    <row r="24" spans="1:15" ht="15" hidden="1" customHeight="1" x14ac:dyDescent="0.35">
      <c r="A24" s="16" t="s">
        <v>96</v>
      </c>
      <c r="B24" s="17">
        <v>10002290</v>
      </c>
      <c r="C24" s="16" t="s">
        <v>97</v>
      </c>
      <c r="D24" s="16" t="s">
        <v>19</v>
      </c>
      <c r="E24" s="18" t="s">
        <v>20</v>
      </c>
      <c r="F24" s="19" t="s">
        <v>26</v>
      </c>
      <c r="G24" s="17">
        <v>1</v>
      </c>
      <c r="H24" s="20">
        <f>SUMIFS(Base_Tratada!$H:$H,Base_Tratada!$A:$A,$A24,Base_Tratada!$G:$G,$D24)</f>
        <v>-1484.86</v>
      </c>
      <c r="I24" s="20">
        <f t="shared" si="0"/>
        <v>1484.86</v>
      </c>
      <c r="J24" s="21">
        <f t="shared" si="1"/>
        <v>1.3677488864922347E-2</v>
      </c>
      <c r="K24" s="21"/>
      <c r="L24" s="12" t="s">
        <v>22</v>
      </c>
      <c r="M24" s="79" t="s">
        <v>22</v>
      </c>
      <c r="N24" s="22" t="s">
        <v>98</v>
      </c>
      <c r="O24" s="77" t="s">
        <v>73</v>
      </c>
    </row>
    <row r="25" spans="1:15" ht="15" hidden="1" customHeight="1" x14ac:dyDescent="0.35">
      <c r="A25" s="6" t="s">
        <v>99</v>
      </c>
      <c r="B25" s="7">
        <v>10001146</v>
      </c>
      <c r="C25" s="6" t="s">
        <v>100</v>
      </c>
      <c r="D25" s="6" t="s">
        <v>19</v>
      </c>
      <c r="E25" s="23" t="s">
        <v>40</v>
      </c>
      <c r="F25" s="9" t="s">
        <v>80</v>
      </c>
      <c r="G25" s="7">
        <v>1</v>
      </c>
      <c r="H25" s="10">
        <f>SUMIFS(Base_Tratada!$H:$H,Base_Tratada!$A:$A,$A25,Base_Tratada!$G:$G,$D25)</f>
        <v>-1375.16</v>
      </c>
      <c r="I25" s="10">
        <f t="shared" si="0"/>
        <v>1375.16</v>
      </c>
      <c r="J25" s="11">
        <f t="shared" si="1"/>
        <v>1.2667009406601712E-2</v>
      </c>
      <c r="K25" s="11"/>
      <c r="L25" s="13" t="s">
        <v>78</v>
      </c>
      <c r="M25" s="13" t="s">
        <v>88</v>
      </c>
      <c r="N25" s="14" t="s">
        <v>78</v>
      </c>
      <c r="O25" s="15" t="s">
        <v>101</v>
      </c>
    </row>
    <row r="26" spans="1:15" ht="15" hidden="1" customHeight="1" x14ac:dyDescent="0.35">
      <c r="A26" s="16" t="s">
        <v>102</v>
      </c>
      <c r="B26" s="17">
        <v>30008736</v>
      </c>
      <c r="C26" s="16" t="s">
        <v>103</v>
      </c>
      <c r="D26" s="16" t="s">
        <v>87</v>
      </c>
      <c r="E26" s="18" t="s">
        <v>20</v>
      </c>
      <c r="F26" s="19" t="s">
        <v>41</v>
      </c>
      <c r="G26" s="17">
        <v>1</v>
      </c>
      <c r="H26" s="20">
        <f>SUMIFS(Base_Tratada!$H:$H,Base_Tratada!$A:$A,$A26,Base_Tratada!$G:$G,$D26)</f>
        <v>-1352.1</v>
      </c>
      <c r="I26" s="20">
        <f t="shared" si="0"/>
        <v>1352.1</v>
      </c>
      <c r="J26" s="21">
        <f t="shared" si="1"/>
        <v>1.2454596860486179E-2</v>
      </c>
      <c r="K26" s="21"/>
      <c r="L26" s="80" t="s">
        <v>54</v>
      </c>
      <c r="M26" s="25" t="s">
        <v>54</v>
      </c>
      <c r="N26" s="22" t="s">
        <v>104</v>
      </c>
      <c r="O26" s="15" t="s">
        <v>101</v>
      </c>
    </row>
    <row r="27" spans="1:15" ht="15" customHeight="1" x14ac:dyDescent="0.35">
      <c r="A27" s="6" t="s">
        <v>105</v>
      </c>
      <c r="B27" s="7">
        <v>30020666</v>
      </c>
      <c r="C27" s="6" t="s">
        <v>106</v>
      </c>
      <c r="D27" s="6" t="s">
        <v>34</v>
      </c>
      <c r="E27" s="23" t="s">
        <v>40</v>
      </c>
      <c r="F27" s="9" t="s">
        <v>26</v>
      </c>
      <c r="G27" s="7">
        <v>1</v>
      </c>
      <c r="H27" s="10">
        <f>SUMIFS(Base_Tratada!$H:$H,Base_Tratada!$A:$A,$A27,Base_Tratada!$G:$G,$D27)</f>
        <v>-1327.99</v>
      </c>
      <c r="I27" s="10">
        <f t="shared" si="0"/>
        <v>1327.99</v>
      </c>
      <c r="J27" s="11">
        <f t="shared" si="1"/>
        <v>1.2232512450822455E-2</v>
      </c>
      <c r="K27" s="11" t="s">
        <v>22</v>
      </c>
      <c r="L27" s="12" t="s">
        <v>22</v>
      </c>
      <c r="M27" s="79" t="s">
        <v>22</v>
      </c>
      <c r="N27" s="14" t="s">
        <v>107</v>
      </c>
      <c r="O27" s="14" t="s">
        <v>47</v>
      </c>
    </row>
    <row r="28" spans="1:15" ht="15" customHeight="1" x14ac:dyDescent="0.35">
      <c r="A28" s="16" t="s">
        <v>108</v>
      </c>
      <c r="B28" s="17">
        <v>130</v>
      </c>
      <c r="C28" s="16" t="s">
        <v>109</v>
      </c>
      <c r="D28" s="16" t="s">
        <v>34</v>
      </c>
      <c r="E28" s="24" t="s">
        <v>40</v>
      </c>
      <c r="F28" s="19" t="s">
        <v>41</v>
      </c>
      <c r="G28" s="17">
        <v>1</v>
      </c>
      <c r="H28" s="20">
        <f>SUMIFS(Base_Tratada!$H:$H,Base_Tratada!$A:$A,$A28,Base_Tratada!$G:$G,$D28)</f>
        <v>-1201.82</v>
      </c>
      <c r="I28" s="20">
        <f t="shared" si="0"/>
        <v>1201.82</v>
      </c>
      <c r="J28" s="21">
        <f t="shared" si="1"/>
        <v>1.1070322904274461E-2</v>
      </c>
      <c r="K28" s="11" t="s">
        <v>22</v>
      </c>
      <c r="L28" s="12" t="s">
        <v>22</v>
      </c>
      <c r="M28" s="12" t="s">
        <v>22</v>
      </c>
      <c r="N28" s="22" t="s">
        <v>23</v>
      </c>
      <c r="O28" s="15" t="s">
        <v>110</v>
      </c>
    </row>
    <row r="29" spans="1:15" ht="15" customHeight="1" x14ac:dyDescent="0.35">
      <c r="A29" s="6" t="s">
        <v>111</v>
      </c>
      <c r="B29" s="7">
        <v>30017239</v>
      </c>
      <c r="C29" s="6" t="s">
        <v>112</v>
      </c>
      <c r="D29" s="6" t="s">
        <v>34</v>
      </c>
      <c r="E29" s="23" t="s">
        <v>40</v>
      </c>
      <c r="F29" s="9" t="s">
        <v>83</v>
      </c>
      <c r="G29" s="7">
        <v>1</v>
      </c>
      <c r="H29" s="10">
        <f>SUMIFS(Base_Tratada!$H:$H,Base_Tratada!$A:$A,$A29,Base_Tratada!$G:$G,$D29)</f>
        <v>-1200</v>
      </c>
      <c r="I29" s="10">
        <f t="shared" si="0"/>
        <v>1200</v>
      </c>
      <c r="J29" s="11">
        <f t="shared" si="1"/>
        <v>1.1053558340790928E-2</v>
      </c>
      <c r="K29" s="11" t="s">
        <v>22</v>
      </c>
      <c r="L29" s="12" t="s">
        <v>22</v>
      </c>
      <c r="M29" s="79" t="s">
        <v>22</v>
      </c>
      <c r="N29" s="14" t="s">
        <v>72</v>
      </c>
      <c r="O29" s="77" t="s">
        <v>73</v>
      </c>
    </row>
    <row r="30" spans="1:15" ht="15" hidden="1" customHeight="1" x14ac:dyDescent="0.35">
      <c r="A30" s="16" t="s">
        <v>113</v>
      </c>
      <c r="B30" s="17">
        <v>30015247</v>
      </c>
      <c r="C30" s="16" t="s">
        <v>114</v>
      </c>
      <c r="D30" s="16" t="s">
        <v>87</v>
      </c>
      <c r="E30" s="18" t="s">
        <v>20</v>
      </c>
      <c r="F30" s="19" t="s">
        <v>41</v>
      </c>
      <c r="G30" s="17">
        <v>1</v>
      </c>
      <c r="H30" s="20">
        <f>SUMIFS(Base_Tratada!$H:$H,Base_Tratada!$A:$A,$A30,Base_Tratada!$G:$G,$D30)</f>
        <v>-1178.1300000000001</v>
      </c>
      <c r="I30" s="20">
        <f t="shared" si="0"/>
        <v>1178.1300000000001</v>
      </c>
      <c r="J30" s="21">
        <f t="shared" si="1"/>
        <v>1.0852107240030015E-2</v>
      </c>
      <c r="K30" s="21"/>
      <c r="L30" s="80" t="s">
        <v>54</v>
      </c>
      <c r="M30" s="25" t="s">
        <v>54</v>
      </c>
      <c r="N30" s="22" t="s">
        <v>115</v>
      </c>
      <c r="O30" s="15" t="s">
        <v>116</v>
      </c>
    </row>
    <row r="31" spans="1:15" ht="15" customHeight="1" x14ac:dyDescent="0.35">
      <c r="A31" s="6" t="s">
        <v>117</v>
      </c>
      <c r="B31" s="7">
        <v>30016960</v>
      </c>
      <c r="C31" s="6" t="s">
        <v>118</v>
      </c>
      <c r="D31" s="6" t="s">
        <v>34</v>
      </c>
      <c r="E31" s="23" t="s">
        <v>40</v>
      </c>
      <c r="F31" s="9" t="s">
        <v>35</v>
      </c>
      <c r="G31" s="7">
        <v>1</v>
      </c>
      <c r="H31" s="10">
        <f>SUMIFS(Base_Tratada!$H:$H,Base_Tratada!$A:$A,$A31,Base_Tratada!$G:$G,$D31)</f>
        <v>-1073.29</v>
      </c>
      <c r="I31" s="10">
        <f t="shared" si="0"/>
        <v>1073.29</v>
      </c>
      <c r="J31" s="11">
        <f t="shared" si="1"/>
        <v>9.8863946929895804E-3</v>
      </c>
      <c r="K31" s="11" t="s">
        <v>22</v>
      </c>
      <c r="L31" s="12" t="s">
        <v>22</v>
      </c>
      <c r="M31" s="12" t="s">
        <v>22</v>
      </c>
      <c r="N31" s="14" t="s">
        <v>72</v>
      </c>
      <c r="O31" s="77" t="s">
        <v>73</v>
      </c>
    </row>
    <row r="32" spans="1:15" ht="15" customHeight="1" x14ac:dyDescent="0.35">
      <c r="A32" s="16" t="s">
        <v>119</v>
      </c>
      <c r="B32" s="17">
        <v>30019380</v>
      </c>
      <c r="C32" s="16" t="s">
        <v>120</v>
      </c>
      <c r="D32" s="16" t="s">
        <v>34</v>
      </c>
      <c r="E32" s="24" t="s">
        <v>40</v>
      </c>
      <c r="F32" s="19" t="s">
        <v>26</v>
      </c>
      <c r="G32" s="17">
        <v>1</v>
      </c>
      <c r="H32" s="20">
        <f>SUMIFS(Base_Tratada!$H:$H,Base_Tratada!$A:$A,$A32,Base_Tratada!$G:$G,$D32)</f>
        <v>-1070</v>
      </c>
      <c r="I32" s="20">
        <f t="shared" si="0"/>
        <v>1070</v>
      </c>
      <c r="J32" s="21">
        <f t="shared" si="1"/>
        <v>9.8560895205385777E-3</v>
      </c>
      <c r="K32" s="11" t="s">
        <v>22</v>
      </c>
      <c r="L32" s="12" t="s">
        <v>22</v>
      </c>
      <c r="M32" s="13" t="s">
        <v>22</v>
      </c>
      <c r="N32" s="22" t="s">
        <v>121</v>
      </c>
      <c r="O32" s="15" t="s">
        <v>122</v>
      </c>
    </row>
    <row r="33" spans="1:15" ht="15" customHeight="1" x14ac:dyDescent="0.35">
      <c r="A33" s="6" t="s">
        <v>123</v>
      </c>
      <c r="B33" s="7">
        <v>30011397</v>
      </c>
      <c r="C33" s="6" t="s">
        <v>124</v>
      </c>
      <c r="D33" s="6" t="s">
        <v>34</v>
      </c>
      <c r="E33" s="23" t="s">
        <v>40</v>
      </c>
      <c r="F33" s="9" t="s">
        <v>26</v>
      </c>
      <c r="G33" s="7">
        <v>1</v>
      </c>
      <c r="H33" s="10">
        <f>SUMIFS(Base_Tratada!$H:$H,Base_Tratada!$A:$A,$A33,Base_Tratada!$G:$G,$D33)</f>
        <v>-1067.58</v>
      </c>
      <c r="I33" s="10">
        <f t="shared" si="0"/>
        <v>1067.58</v>
      </c>
      <c r="J33" s="11">
        <f t="shared" si="1"/>
        <v>9.8337981778846492E-3</v>
      </c>
      <c r="K33" s="11" t="s">
        <v>22</v>
      </c>
      <c r="L33" s="26" t="s">
        <v>125</v>
      </c>
      <c r="M33" s="13" t="s">
        <v>78</v>
      </c>
      <c r="N33" s="14" t="s">
        <v>126</v>
      </c>
      <c r="O33" s="77" t="s">
        <v>73</v>
      </c>
    </row>
    <row r="34" spans="1:15" ht="15" customHeight="1" x14ac:dyDescent="0.35">
      <c r="A34" s="16" t="s">
        <v>127</v>
      </c>
      <c r="B34" s="17">
        <v>30016543</v>
      </c>
      <c r="C34" s="16" t="s">
        <v>128</v>
      </c>
      <c r="D34" s="16" t="s">
        <v>19</v>
      </c>
      <c r="E34" s="24" t="s">
        <v>40</v>
      </c>
      <c r="F34" s="19" t="s">
        <v>26</v>
      </c>
      <c r="G34" s="17">
        <v>9</v>
      </c>
      <c r="H34" s="20">
        <f>SUMIFS(Base_Tratada!$H:$H,Base_Tratada!$A:$A,$A34,Base_Tratada!$G:$G,$D34)</f>
        <v>-1040.319999999999</v>
      </c>
      <c r="I34" s="20">
        <f t="shared" si="0"/>
        <v>1040.319999999999</v>
      </c>
      <c r="J34" s="21">
        <f t="shared" si="1"/>
        <v>9.5826981775763397E-3</v>
      </c>
      <c r="K34" s="11" t="s">
        <v>22</v>
      </c>
      <c r="L34" s="12" t="s">
        <v>22</v>
      </c>
      <c r="M34" s="12" t="s">
        <v>22</v>
      </c>
      <c r="N34" s="22" t="s">
        <v>129</v>
      </c>
      <c r="O34" s="15" t="s">
        <v>23</v>
      </c>
    </row>
    <row r="35" spans="1:15" ht="15" customHeight="1" x14ac:dyDescent="0.35">
      <c r="A35" s="6" t="s">
        <v>130</v>
      </c>
      <c r="B35" s="7">
        <v>30017104</v>
      </c>
      <c r="C35" s="6" t="s">
        <v>131</v>
      </c>
      <c r="D35" s="6" t="s">
        <v>34</v>
      </c>
      <c r="E35" s="23" t="s">
        <v>40</v>
      </c>
      <c r="F35" s="9" t="s">
        <v>41</v>
      </c>
      <c r="G35" s="7">
        <v>1</v>
      </c>
      <c r="H35" s="10">
        <f>SUMIFS(Base_Tratada!$H:$H,Base_Tratada!$A:$A,$A35,Base_Tratada!$G:$G,$D35)</f>
        <v>-1010.94</v>
      </c>
      <c r="I35" s="10">
        <f t="shared" si="0"/>
        <v>1010.94</v>
      </c>
      <c r="J35" s="11">
        <f t="shared" si="1"/>
        <v>9.3120702241993192E-3</v>
      </c>
      <c r="K35" s="11" t="s">
        <v>22</v>
      </c>
      <c r="L35" s="12" t="s">
        <v>22</v>
      </c>
      <c r="M35" s="79" t="s">
        <v>22</v>
      </c>
      <c r="N35" s="14" t="s">
        <v>132</v>
      </c>
      <c r="O35" s="14" t="s">
        <v>133</v>
      </c>
    </row>
    <row r="36" spans="1:15" ht="15" customHeight="1" x14ac:dyDescent="0.35">
      <c r="A36" s="16" t="s">
        <v>134</v>
      </c>
      <c r="B36" s="17">
        <v>30017436</v>
      </c>
      <c r="C36" s="16" t="s">
        <v>135</v>
      </c>
      <c r="D36" s="16" t="s">
        <v>34</v>
      </c>
      <c r="E36" s="24" t="s">
        <v>40</v>
      </c>
      <c r="F36" s="19" t="s">
        <v>26</v>
      </c>
      <c r="G36" s="17">
        <v>1</v>
      </c>
      <c r="H36" s="20">
        <f>SUMIFS(Base_Tratada!$H:$H,Base_Tratada!$A:$A,$A36,Base_Tratada!$G:$G,$D36)</f>
        <v>-963.73</v>
      </c>
      <c r="I36" s="20">
        <f t="shared" si="0"/>
        <v>963.73</v>
      </c>
      <c r="J36" s="21">
        <f t="shared" si="1"/>
        <v>8.8772048164753679E-3</v>
      </c>
      <c r="K36" s="11" t="s">
        <v>22</v>
      </c>
      <c r="L36" s="12" t="s">
        <v>22</v>
      </c>
      <c r="M36" s="12" t="s">
        <v>22</v>
      </c>
      <c r="N36" s="22" t="s">
        <v>136</v>
      </c>
      <c r="O36" s="77" t="s">
        <v>73</v>
      </c>
    </row>
    <row r="37" spans="1:15" ht="15" customHeight="1" x14ac:dyDescent="0.35">
      <c r="A37" s="6" t="s">
        <v>137</v>
      </c>
      <c r="B37" s="7">
        <v>30017209</v>
      </c>
      <c r="C37" s="6" t="s">
        <v>138</v>
      </c>
      <c r="D37" s="6" t="s">
        <v>34</v>
      </c>
      <c r="E37" s="23" t="s">
        <v>40</v>
      </c>
      <c r="F37" s="9" t="s">
        <v>26</v>
      </c>
      <c r="G37" s="7">
        <v>1</v>
      </c>
      <c r="H37" s="10">
        <f>SUMIFS(Base_Tratada!$H:$H,Base_Tratada!$A:$A,$A37,Base_Tratada!$G:$G,$D37)</f>
        <v>-937.62</v>
      </c>
      <c r="I37" s="10">
        <f t="shared" ref="I37:I68" si="2">-H37</f>
        <v>937.62</v>
      </c>
      <c r="J37" s="11">
        <f t="shared" ref="J37:J68" si="3">IFERROR(I37/$I$67,0)</f>
        <v>8.6366978095769927E-3</v>
      </c>
      <c r="K37" s="11" t="s">
        <v>22</v>
      </c>
      <c r="L37" s="12" t="s">
        <v>22</v>
      </c>
      <c r="M37" s="12" t="s">
        <v>22</v>
      </c>
      <c r="N37" s="14" t="s">
        <v>139</v>
      </c>
      <c r="O37" s="14" t="s">
        <v>51</v>
      </c>
    </row>
    <row r="38" spans="1:15" ht="15" hidden="1" customHeight="1" x14ac:dyDescent="0.35">
      <c r="A38" s="16" t="s">
        <v>140</v>
      </c>
      <c r="B38" s="17">
        <v>30013184</v>
      </c>
      <c r="C38" s="16" t="s">
        <v>141</v>
      </c>
      <c r="D38" s="16" t="s">
        <v>19</v>
      </c>
      <c r="E38" s="18" t="s">
        <v>20</v>
      </c>
      <c r="F38" s="19" t="s">
        <v>41</v>
      </c>
      <c r="G38" s="17">
        <v>1</v>
      </c>
      <c r="H38" s="20">
        <f>SUMIFS(Base_Tratada!$H:$H,Base_Tratada!$A:$A,$A38,Base_Tratada!$G:$G,$D38)</f>
        <v>-884.96</v>
      </c>
      <c r="I38" s="20">
        <f t="shared" si="2"/>
        <v>884.96</v>
      </c>
      <c r="J38" s="21">
        <f t="shared" si="3"/>
        <v>8.1516308243886181E-3</v>
      </c>
      <c r="K38" s="21"/>
      <c r="L38" s="12" t="s">
        <v>22</v>
      </c>
      <c r="M38" s="13" t="s">
        <v>54</v>
      </c>
      <c r="N38" s="22" t="s">
        <v>142</v>
      </c>
      <c r="O38" s="15" t="s">
        <v>78</v>
      </c>
    </row>
    <row r="39" spans="1:15" ht="15" hidden="1" customHeight="1" x14ac:dyDescent="0.35">
      <c r="A39" s="6" t="s">
        <v>143</v>
      </c>
      <c r="B39" s="7">
        <v>30010781</v>
      </c>
      <c r="C39" s="6" t="s">
        <v>144</v>
      </c>
      <c r="D39" s="6" t="s">
        <v>87</v>
      </c>
      <c r="E39" s="8" t="s">
        <v>20</v>
      </c>
      <c r="F39" s="9" t="s">
        <v>41</v>
      </c>
      <c r="G39" s="7">
        <v>1</v>
      </c>
      <c r="H39" s="10">
        <f>SUMIFS(Base_Tratada!$H:$H,Base_Tratada!$A:$A,$A39,Base_Tratada!$G:$G,$D39)</f>
        <v>-865.52</v>
      </c>
      <c r="I39" s="10">
        <f t="shared" si="2"/>
        <v>865.52</v>
      </c>
      <c r="J39" s="11">
        <f t="shared" si="3"/>
        <v>7.9725631792678039E-3</v>
      </c>
      <c r="K39" s="11"/>
      <c r="L39" s="12" t="s">
        <v>22</v>
      </c>
      <c r="M39" s="12" t="s">
        <v>22</v>
      </c>
      <c r="N39" s="14" t="s">
        <v>145</v>
      </c>
      <c r="O39" s="78" t="s">
        <v>51</v>
      </c>
    </row>
    <row r="40" spans="1:15" ht="15" customHeight="1" x14ac:dyDescent="0.35">
      <c r="A40" s="16" t="s">
        <v>146</v>
      </c>
      <c r="B40" s="17">
        <v>30012242</v>
      </c>
      <c r="C40" s="16" t="s">
        <v>147</v>
      </c>
      <c r="D40" s="16" t="s">
        <v>34</v>
      </c>
      <c r="E40" s="24" t="s">
        <v>40</v>
      </c>
      <c r="F40" s="19" t="s">
        <v>83</v>
      </c>
      <c r="G40" s="17">
        <v>1</v>
      </c>
      <c r="H40" s="20">
        <f>SUMIFS(Base_Tratada!$H:$H,Base_Tratada!$A:$A,$A40,Base_Tratada!$G:$G,$D40)</f>
        <v>-840.51</v>
      </c>
      <c r="I40" s="20">
        <f t="shared" si="2"/>
        <v>840.51</v>
      </c>
      <c r="J40" s="21">
        <f t="shared" si="3"/>
        <v>7.7421886008484861E-3</v>
      </c>
      <c r="K40" s="11" t="s">
        <v>22</v>
      </c>
      <c r="L40" s="26" t="s">
        <v>22</v>
      </c>
      <c r="M40" s="13" t="s">
        <v>22</v>
      </c>
      <c r="N40" s="22" t="s">
        <v>148</v>
      </c>
      <c r="O40" s="77" t="s">
        <v>73</v>
      </c>
    </row>
    <row r="41" spans="1:15" ht="15" customHeight="1" x14ac:dyDescent="0.35">
      <c r="A41" s="6" t="s">
        <v>149</v>
      </c>
      <c r="B41" s="7">
        <v>30014925</v>
      </c>
      <c r="C41" s="6" t="s">
        <v>150</v>
      </c>
      <c r="D41" s="6" t="s">
        <v>34</v>
      </c>
      <c r="E41" s="23" t="s">
        <v>40</v>
      </c>
      <c r="F41" s="9" t="s">
        <v>35</v>
      </c>
      <c r="G41" s="7">
        <v>1</v>
      </c>
      <c r="H41" s="10">
        <f>SUMIFS(Base_Tratada!$H:$H,Base_Tratada!$A:$A,$A41,Base_Tratada!$G:$G,$D41)</f>
        <v>-827.41</v>
      </c>
      <c r="I41" s="10">
        <f t="shared" si="2"/>
        <v>827.41</v>
      </c>
      <c r="J41" s="11">
        <f t="shared" si="3"/>
        <v>7.6215205889615181E-3</v>
      </c>
      <c r="K41" s="11" t="s">
        <v>22</v>
      </c>
      <c r="L41" s="12" t="s">
        <v>22</v>
      </c>
      <c r="M41" s="79" t="s">
        <v>22</v>
      </c>
      <c r="N41" s="14" t="s">
        <v>72</v>
      </c>
      <c r="O41" s="14" t="s">
        <v>23</v>
      </c>
    </row>
    <row r="42" spans="1:15" ht="15" hidden="1" customHeight="1" x14ac:dyDescent="0.35">
      <c r="A42" s="16" t="s">
        <v>151</v>
      </c>
      <c r="B42" s="17">
        <v>30017565</v>
      </c>
      <c r="C42" s="16" t="s">
        <v>152</v>
      </c>
      <c r="D42" s="16" t="s">
        <v>87</v>
      </c>
      <c r="E42" s="18" t="s">
        <v>20</v>
      </c>
      <c r="F42" s="19" t="s">
        <v>41</v>
      </c>
      <c r="G42" s="17">
        <v>1</v>
      </c>
      <c r="H42" s="20">
        <f>SUMIFS(Base_Tratada!$H:$H,Base_Tratada!$A:$A,$A42,Base_Tratada!$G:$G,$D42)</f>
        <v>-810.33</v>
      </c>
      <c r="I42" s="20">
        <f t="shared" si="2"/>
        <v>810.33</v>
      </c>
      <c r="J42" s="21">
        <f t="shared" si="3"/>
        <v>7.4641916085775948E-3</v>
      </c>
      <c r="K42" s="21"/>
      <c r="L42" s="80" t="s">
        <v>54</v>
      </c>
      <c r="M42" s="25" t="s">
        <v>54</v>
      </c>
      <c r="N42" s="22" t="s">
        <v>115</v>
      </c>
      <c r="O42" s="15" t="s">
        <v>116</v>
      </c>
    </row>
    <row r="43" spans="1:15" ht="15" customHeight="1" x14ac:dyDescent="0.35">
      <c r="A43" s="6" t="s">
        <v>153</v>
      </c>
      <c r="B43" s="7">
        <v>30011301</v>
      </c>
      <c r="C43" s="6" t="s">
        <v>154</v>
      </c>
      <c r="D43" s="6" t="s">
        <v>87</v>
      </c>
      <c r="E43" s="23" t="s">
        <v>40</v>
      </c>
      <c r="F43" s="9" t="s">
        <v>41</v>
      </c>
      <c r="G43" s="7">
        <v>1</v>
      </c>
      <c r="H43" s="10">
        <f>SUMIFS(Base_Tratada!$H:$H,Base_Tratada!$A:$A,$A43,Base_Tratada!$G:$G,$D43)</f>
        <v>-777.26</v>
      </c>
      <c r="I43" s="10">
        <f t="shared" si="2"/>
        <v>777.26</v>
      </c>
      <c r="J43" s="11">
        <f t="shared" si="3"/>
        <v>7.159573963302631E-3</v>
      </c>
      <c r="K43" s="11" t="s">
        <v>22</v>
      </c>
      <c r="L43" s="13" t="s">
        <v>22</v>
      </c>
      <c r="M43" s="13" t="s">
        <v>22</v>
      </c>
      <c r="N43" s="14" t="s">
        <v>155</v>
      </c>
      <c r="O43" s="15" t="s">
        <v>73</v>
      </c>
    </row>
    <row r="44" spans="1:15" ht="15" customHeight="1" x14ac:dyDescent="0.35">
      <c r="A44" s="16" t="s">
        <v>156</v>
      </c>
      <c r="B44" s="17">
        <v>30011963</v>
      </c>
      <c r="C44" s="16" t="s">
        <v>157</v>
      </c>
      <c r="D44" s="16" t="s">
        <v>34</v>
      </c>
      <c r="E44" s="24" t="s">
        <v>40</v>
      </c>
      <c r="F44" s="19" t="s">
        <v>26</v>
      </c>
      <c r="G44" s="17">
        <v>1</v>
      </c>
      <c r="H44" s="20">
        <f>SUMIFS(Base_Tratada!$H:$H,Base_Tratada!$A:$A,$A44,Base_Tratada!$G:$G,$D44)</f>
        <v>-772.9</v>
      </c>
      <c r="I44" s="20">
        <f t="shared" si="2"/>
        <v>772.9</v>
      </c>
      <c r="J44" s="21">
        <f t="shared" si="3"/>
        <v>7.1194127013310907E-3</v>
      </c>
      <c r="K44" s="11" t="s">
        <v>22</v>
      </c>
      <c r="L44" s="26" t="s">
        <v>125</v>
      </c>
      <c r="M44" s="79" t="s">
        <v>22</v>
      </c>
      <c r="N44" s="22" t="s">
        <v>158</v>
      </c>
      <c r="O44" s="77" t="s">
        <v>159</v>
      </c>
    </row>
    <row r="45" spans="1:15" ht="15" customHeight="1" x14ac:dyDescent="0.35">
      <c r="A45" s="6" t="s">
        <v>160</v>
      </c>
      <c r="B45" s="7">
        <v>30017869</v>
      </c>
      <c r="C45" s="6" t="s">
        <v>161</v>
      </c>
      <c r="D45" s="6" t="s">
        <v>34</v>
      </c>
      <c r="E45" s="23" t="s">
        <v>40</v>
      </c>
      <c r="F45" s="9" t="s">
        <v>26</v>
      </c>
      <c r="G45" s="7">
        <v>1</v>
      </c>
      <c r="H45" s="10">
        <f>SUMIFS(Base_Tratada!$H:$H,Base_Tratada!$A:$A,$A45,Base_Tratada!$G:$G,$D45)</f>
        <v>-644.79</v>
      </c>
      <c r="I45" s="10">
        <f t="shared" si="2"/>
        <v>644.79</v>
      </c>
      <c r="J45" s="11">
        <f t="shared" si="3"/>
        <v>5.9393532354654853E-3</v>
      </c>
      <c r="K45" s="11" t="s">
        <v>22</v>
      </c>
      <c r="L45" s="12" t="s">
        <v>22</v>
      </c>
      <c r="M45" s="12" t="s">
        <v>22</v>
      </c>
      <c r="N45" s="14" t="s">
        <v>162</v>
      </c>
      <c r="O45" s="14" t="s">
        <v>163</v>
      </c>
    </row>
    <row r="46" spans="1:15" ht="15" customHeight="1" x14ac:dyDescent="0.35">
      <c r="A46" s="16" t="s">
        <v>164</v>
      </c>
      <c r="B46" s="17"/>
      <c r="C46" s="16" t="s">
        <v>165</v>
      </c>
      <c r="D46" s="16" t="s">
        <v>34</v>
      </c>
      <c r="E46" s="24" t="s">
        <v>40</v>
      </c>
      <c r="F46" s="19" t="s">
        <v>26</v>
      </c>
      <c r="G46" s="17">
        <v>1</v>
      </c>
      <c r="H46" s="20">
        <f>SUMIFS(Base_Tratada!$H:$H,Base_Tratada!$A:$A,$A46,Base_Tratada!$G:$G,$D46)</f>
        <v>-621.26</v>
      </c>
      <c r="I46" s="20">
        <f t="shared" si="2"/>
        <v>621.26</v>
      </c>
      <c r="J46" s="21">
        <f t="shared" si="3"/>
        <v>5.7226113789998105E-3</v>
      </c>
      <c r="K46" s="11" t="s">
        <v>22</v>
      </c>
      <c r="L46" s="12" t="s">
        <v>22</v>
      </c>
      <c r="M46" s="25" t="s">
        <v>54</v>
      </c>
      <c r="N46" s="22" t="s">
        <v>166</v>
      </c>
      <c r="O46" s="22" t="s">
        <v>47</v>
      </c>
    </row>
    <row r="47" spans="1:15" ht="15" customHeight="1" x14ac:dyDescent="0.35">
      <c r="A47" s="6" t="s">
        <v>167</v>
      </c>
      <c r="B47" s="7">
        <v>30016676</v>
      </c>
      <c r="C47" s="6" t="s">
        <v>168</v>
      </c>
      <c r="D47" s="6" t="s">
        <v>34</v>
      </c>
      <c r="E47" s="23" t="s">
        <v>40</v>
      </c>
      <c r="F47" s="9" t="s">
        <v>83</v>
      </c>
      <c r="G47" s="7">
        <v>2</v>
      </c>
      <c r="H47" s="10">
        <f>SUMIFS(Base_Tratada!$H:$H,Base_Tratada!$A:$A,$A47,Base_Tratada!$G:$G,$D47)</f>
        <v>-620.27</v>
      </c>
      <c r="I47" s="10">
        <f t="shared" si="2"/>
        <v>620.27</v>
      </c>
      <c r="J47" s="11">
        <f t="shared" si="3"/>
        <v>5.7134921933686576E-3</v>
      </c>
      <c r="K47" s="11" t="s">
        <v>22</v>
      </c>
      <c r="L47" s="12" t="s">
        <v>22</v>
      </c>
      <c r="M47" s="79" t="s">
        <v>22</v>
      </c>
      <c r="N47" s="14" t="s">
        <v>169</v>
      </c>
      <c r="O47" s="78" t="s">
        <v>163</v>
      </c>
    </row>
    <row r="48" spans="1:15" ht="15" customHeight="1" x14ac:dyDescent="0.35">
      <c r="A48" s="16" t="s">
        <v>170</v>
      </c>
      <c r="B48" s="17">
        <v>30014318</v>
      </c>
      <c r="C48" s="16" t="s">
        <v>171</v>
      </c>
      <c r="D48" s="16" t="s">
        <v>34</v>
      </c>
      <c r="E48" s="24" t="s">
        <v>40</v>
      </c>
      <c r="F48" s="19" t="s">
        <v>35</v>
      </c>
      <c r="G48" s="17">
        <v>1</v>
      </c>
      <c r="H48" s="20">
        <f>SUMIFS(Base_Tratada!$H:$H,Base_Tratada!$A:$A,$A48,Base_Tratada!$G:$G,$D48)</f>
        <v>-607.37416666700005</v>
      </c>
      <c r="I48" s="20">
        <f t="shared" si="2"/>
        <v>607.37416666700005</v>
      </c>
      <c r="J48" s="21">
        <f t="shared" si="3"/>
        <v>5.5947048216191319E-3</v>
      </c>
      <c r="K48" s="11" t="s">
        <v>22</v>
      </c>
      <c r="L48" s="12" t="s">
        <v>22</v>
      </c>
      <c r="M48" s="12" t="s">
        <v>22</v>
      </c>
      <c r="N48" s="22" t="s">
        <v>84</v>
      </c>
      <c r="O48" s="22" t="s">
        <v>47</v>
      </c>
    </row>
    <row r="49" spans="1:15" ht="15" customHeight="1" x14ac:dyDescent="0.35">
      <c r="A49" s="6" t="s">
        <v>172</v>
      </c>
      <c r="B49" s="7">
        <v>30017285</v>
      </c>
      <c r="C49" s="6" t="s">
        <v>173</v>
      </c>
      <c r="D49" s="6" t="s">
        <v>34</v>
      </c>
      <c r="E49" s="23" t="s">
        <v>40</v>
      </c>
      <c r="F49" s="9" t="s">
        <v>83</v>
      </c>
      <c r="G49" s="7">
        <v>1</v>
      </c>
      <c r="H49" s="10">
        <f>SUMIFS(Base_Tratada!$H:$H,Base_Tratada!$A:$A,$A49,Base_Tratada!$G:$G,$D49)</f>
        <v>-583.33000000000004</v>
      </c>
      <c r="I49" s="10">
        <f t="shared" si="2"/>
        <v>583.33000000000004</v>
      </c>
      <c r="J49" s="11">
        <f t="shared" si="3"/>
        <v>5.3732268224446437E-3</v>
      </c>
      <c r="K49" s="11" t="s">
        <v>22</v>
      </c>
      <c r="L49" s="26" t="s">
        <v>22</v>
      </c>
      <c r="M49" s="13" t="s">
        <v>22</v>
      </c>
      <c r="N49" s="14" t="s">
        <v>148</v>
      </c>
      <c r="O49" s="15" t="s">
        <v>361</v>
      </c>
    </row>
    <row r="50" spans="1:15" ht="15" hidden="1" customHeight="1" x14ac:dyDescent="0.35">
      <c r="A50" s="16" t="s">
        <v>174</v>
      </c>
      <c r="B50" s="17">
        <v>30008217</v>
      </c>
      <c r="C50" s="16" t="s">
        <v>175</v>
      </c>
      <c r="D50" s="16" t="s">
        <v>19</v>
      </c>
      <c r="E50" s="18" t="s">
        <v>20</v>
      </c>
      <c r="F50" s="19" t="s">
        <v>35</v>
      </c>
      <c r="G50" s="17">
        <v>1</v>
      </c>
      <c r="H50" s="20">
        <f>SUMIFS(Base_Tratada!$H:$H,Base_Tratada!$A:$A,$A50,Base_Tratada!$G:$G,$D50)</f>
        <v>-580.08000000000004</v>
      </c>
      <c r="I50" s="20">
        <f t="shared" si="2"/>
        <v>580.08000000000004</v>
      </c>
      <c r="J50" s="21">
        <f t="shared" si="3"/>
        <v>5.343290101938335E-3</v>
      </c>
      <c r="K50" s="21"/>
      <c r="L50" s="12" t="s">
        <v>22</v>
      </c>
      <c r="M50" s="13" t="s">
        <v>22</v>
      </c>
      <c r="N50" s="22" t="s">
        <v>176</v>
      </c>
      <c r="O50" s="15" t="s">
        <v>176</v>
      </c>
    </row>
    <row r="51" spans="1:15" ht="15" hidden="1" customHeight="1" x14ac:dyDescent="0.35">
      <c r="A51" s="6" t="s">
        <v>177</v>
      </c>
      <c r="B51" s="7">
        <v>30005462</v>
      </c>
      <c r="C51" s="6" t="s">
        <v>178</v>
      </c>
      <c r="D51" s="6" t="s">
        <v>19</v>
      </c>
      <c r="E51" s="8" t="s">
        <v>20</v>
      </c>
      <c r="F51" s="9" t="s">
        <v>80</v>
      </c>
      <c r="G51" s="7">
        <v>1</v>
      </c>
      <c r="H51" s="10">
        <f>SUMIFS(Base_Tratada!$H:$H,Base_Tratada!$A:$A,$A51,Base_Tratada!$G:$G,$D51)</f>
        <v>-561.54</v>
      </c>
      <c r="I51" s="10">
        <f t="shared" si="2"/>
        <v>561.54</v>
      </c>
      <c r="J51" s="11">
        <f t="shared" si="3"/>
        <v>5.1725126255731148E-3</v>
      </c>
      <c r="K51" s="11"/>
      <c r="L51" s="12" t="s">
        <v>22</v>
      </c>
      <c r="M51" s="13" t="s">
        <v>22</v>
      </c>
      <c r="N51" s="14" t="s">
        <v>176</v>
      </c>
      <c r="O51" s="15" t="s">
        <v>176</v>
      </c>
    </row>
    <row r="52" spans="1:15" ht="15" hidden="1" customHeight="1" x14ac:dyDescent="0.35">
      <c r="A52" s="16" t="s">
        <v>179</v>
      </c>
      <c r="B52" s="17">
        <v>30016791</v>
      </c>
      <c r="C52" s="16" t="s">
        <v>180</v>
      </c>
      <c r="D52" s="16" t="s">
        <v>87</v>
      </c>
      <c r="E52" s="24" t="s">
        <v>40</v>
      </c>
      <c r="F52" s="19" t="s">
        <v>41</v>
      </c>
      <c r="G52" s="17">
        <v>1</v>
      </c>
      <c r="H52" s="20">
        <f>SUMIFS(Base_Tratada!$H:$H,Base_Tratada!$A:$A,$A52,Base_Tratada!$G:$G,$D52)</f>
        <v>-517.19000000000005</v>
      </c>
      <c r="I52" s="20">
        <f t="shared" si="2"/>
        <v>517.19000000000005</v>
      </c>
      <c r="J52" s="21">
        <f t="shared" si="3"/>
        <v>4.7639915318947179E-3</v>
      </c>
      <c r="K52" s="11"/>
      <c r="L52" s="26" t="s">
        <v>181</v>
      </c>
      <c r="M52" s="25" t="s">
        <v>54</v>
      </c>
      <c r="N52" s="22" t="s">
        <v>182</v>
      </c>
      <c r="O52" s="15" t="s">
        <v>183</v>
      </c>
    </row>
    <row r="53" spans="1:15" ht="15" hidden="1" customHeight="1" x14ac:dyDescent="0.35">
      <c r="A53" s="6" t="s">
        <v>184</v>
      </c>
      <c r="B53" s="7">
        <v>20000043</v>
      </c>
      <c r="C53" s="6" t="s">
        <v>185</v>
      </c>
      <c r="D53" s="6" t="s">
        <v>19</v>
      </c>
      <c r="E53" s="8" t="s">
        <v>20</v>
      </c>
      <c r="F53" s="9" t="s">
        <v>26</v>
      </c>
      <c r="G53" s="7">
        <v>1</v>
      </c>
      <c r="H53" s="10">
        <f>SUMIFS(Base_Tratada!$H:$H,Base_Tratada!$A:$A,$A53,Base_Tratada!$G:$G,$D53)</f>
        <v>-514.72</v>
      </c>
      <c r="I53" s="10">
        <f t="shared" si="2"/>
        <v>514.72</v>
      </c>
      <c r="J53" s="11">
        <f t="shared" si="3"/>
        <v>4.7412396243099227E-3</v>
      </c>
      <c r="K53" s="11"/>
      <c r="L53" s="12" t="s">
        <v>22</v>
      </c>
      <c r="M53" s="13" t="s">
        <v>22</v>
      </c>
      <c r="N53" s="14" t="s">
        <v>186</v>
      </c>
      <c r="O53" s="15" t="s">
        <v>187</v>
      </c>
    </row>
    <row r="54" spans="1:15" ht="15" customHeight="1" x14ac:dyDescent="0.35">
      <c r="A54" s="16" t="s">
        <v>188</v>
      </c>
      <c r="B54" s="17">
        <v>30018091</v>
      </c>
      <c r="C54" s="16" t="s">
        <v>189</v>
      </c>
      <c r="D54" s="16" t="s">
        <v>34</v>
      </c>
      <c r="E54" s="24" t="s">
        <v>40</v>
      </c>
      <c r="F54" s="19" t="s">
        <v>41</v>
      </c>
      <c r="G54" s="17">
        <v>1</v>
      </c>
      <c r="H54" s="20">
        <f>SUMIFS(Base_Tratada!$H:$H,Base_Tratada!$A:$A,$A54,Base_Tratada!$G:$G,$D54)</f>
        <v>-480</v>
      </c>
      <c r="I54" s="20">
        <f t="shared" si="2"/>
        <v>480</v>
      </c>
      <c r="J54" s="21">
        <f t="shared" si="3"/>
        <v>4.4214233363163713E-3</v>
      </c>
      <c r="K54" s="11" t="s">
        <v>22</v>
      </c>
      <c r="L54" s="12" t="s">
        <v>22</v>
      </c>
      <c r="M54" s="79" t="s">
        <v>22</v>
      </c>
      <c r="N54" s="22" t="s">
        <v>190</v>
      </c>
      <c r="O54" s="78" t="s">
        <v>47</v>
      </c>
    </row>
    <row r="55" spans="1:15" ht="15" hidden="1" customHeight="1" x14ac:dyDescent="0.35">
      <c r="A55" s="6" t="s">
        <v>191</v>
      </c>
      <c r="B55" s="7">
        <v>30016118</v>
      </c>
      <c r="C55" s="6" t="s">
        <v>192</v>
      </c>
      <c r="D55" s="6" t="s">
        <v>87</v>
      </c>
      <c r="E55" s="23" t="s">
        <v>40</v>
      </c>
      <c r="F55" s="9" t="s">
        <v>80</v>
      </c>
      <c r="G55" s="7">
        <v>3</v>
      </c>
      <c r="H55" s="10">
        <f>SUMIFS(Base_Tratada!$H:$H,Base_Tratada!$A:$A,$A55,Base_Tratada!$G:$G,$D55)</f>
        <v>-447.72</v>
      </c>
      <c r="I55" s="10">
        <f t="shared" si="2"/>
        <v>447.72</v>
      </c>
      <c r="J55" s="11">
        <f t="shared" si="3"/>
        <v>4.1240826169490954E-3</v>
      </c>
      <c r="K55" s="11"/>
      <c r="L55" s="26" t="s">
        <v>54</v>
      </c>
      <c r="M55" s="25" t="s">
        <v>54</v>
      </c>
      <c r="N55" s="14" t="s">
        <v>193</v>
      </c>
      <c r="O55" s="15" t="s">
        <v>69</v>
      </c>
    </row>
    <row r="56" spans="1:15" ht="15" hidden="1" customHeight="1" x14ac:dyDescent="0.35">
      <c r="A56" s="16" t="s">
        <v>194</v>
      </c>
      <c r="B56" s="17">
        <v>30004467</v>
      </c>
      <c r="C56" s="16" t="s">
        <v>195</v>
      </c>
      <c r="D56" s="16" t="s">
        <v>196</v>
      </c>
      <c r="E56" s="18" t="s">
        <v>20</v>
      </c>
      <c r="F56" s="19" t="s">
        <v>26</v>
      </c>
      <c r="G56" s="17">
        <v>1</v>
      </c>
      <c r="H56" s="20">
        <f>SUMIFS(Base_Tratada!$H:$H,Base_Tratada!$A:$A,$A56,Base_Tratada!$G:$G,$D56)</f>
        <v>-407.24</v>
      </c>
      <c r="I56" s="20">
        <f t="shared" si="2"/>
        <v>407.24</v>
      </c>
      <c r="J56" s="21">
        <f t="shared" si="3"/>
        <v>3.7512092489197482E-3</v>
      </c>
      <c r="K56" s="21"/>
      <c r="L56" s="25" t="s">
        <v>54</v>
      </c>
      <c r="M56" s="79" t="s">
        <v>22</v>
      </c>
      <c r="N56" s="22" t="s">
        <v>197</v>
      </c>
      <c r="O56" s="15" t="s">
        <v>198</v>
      </c>
    </row>
    <row r="57" spans="1:15" ht="15" customHeight="1" x14ac:dyDescent="0.35">
      <c r="A57" s="6" t="s">
        <v>199</v>
      </c>
      <c r="B57" s="7">
        <v>30015743</v>
      </c>
      <c r="C57" s="6" t="s">
        <v>200</v>
      </c>
      <c r="D57" s="6" t="s">
        <v>34</v>
      </c>
      <c r="E57" s="23" t="s">
        <v>40</v>
      </c>
      <c r="F57" s="9" t="s">
        <v>80</v>
      </c>
      <c r="G57" s="7">
        <v>1</v>
      </c>
      <c r="H57" s="10">
        <f>SUMIFS(Base_Tratada!$H:$H,Base_Tratada!$A:$A,$A57,Base_Tratada!$G:$G,$D57)</f>
        <v>-320</v>
      </c>
      <c r="I57" s="10">
        <f t="shared" si="2"/>
        <v>320</v>
      </c>
      <c r="J57" s="11">
        <f t="shared" si="3"/>
        <v>2.9476155575442475E-3</v>
      </c>
      <c r="K57" s="11" t="s">
        <v>22</v>
      </c>
      <c r="L57" s="12" t="s">
        <v>22</v>
      </c>
      <c r="M57" s="79" t="s">
        <v>22</v>
      </c>
      <c r="N57" s="14" t="s">
        <v>201</v>
      </c>
      <c r="O57" s="78" t="s">
        <v>47</v>
      </c>
    </row>
    <row r="58" spans="1:15" ht="15" customHeight="1" x14ac:dyDescent="0.35">
      <c r="A58" s="16" t="s">
        <v>202</v>
      </c>
      <c r="B58" s="17">
        <v>30012511</v>
      </c>
      <c r="C58" s="16" t="s">
        <v>203</v>
      </c>
      <c r="D58" s="16" t="s">
        <v>34</v>
      </c>
      <c r="E58" s="24" t="s">
        <v>40</v>
      </c>
      <c r="F58" s="19" t="s">
        <v>41</v>
      </c>
      <c r="G58" s="17">
        <v>1</v>
      </c>
      <c r="H58" s="20">
        <f>SUMIFS(Base_Tratada!$H:$H,Base_Tratada!$A:$A,$A58,Base_Tratada!$G:$G,$D58)</f>
        <v>-302.91000000000003</v>
      </c>
      <c r="I58" s="20">
        <f t="shared" si="2"/>
        <v>302.91000000000003</v>
      </c>
      <c r="J58" s="21">
        <f t="shared" si="3"/>
        <v>2.7901944641741503E-3</v>
      </c>
      <c r="K58" s="11" t="s">
        <v>22</v>
      </c>
      <c r="L58" s="26" t="s">
        <v>125</v>
      </c>
      <c r="M58" s="79" t="s">
        <v>22</v>
      </c>
      <c r="N58" s="22" t="s">
        <v>204</v>
      </c>
      <c r="O58" s="77" t="s">
        <v>64</v>
      </c>
    </row>
    <row r="59" spans="1:15" ht="15" hidden="1" customHeight="1" x14ac:dyDescent="0.35">
      <c r="A59" s="6" t="s">
        <v>205</v>
      </c>
      <c r="B59" s="7">
        <v>30016337</v>
      </c>
      <c r="C59" s="6" t="s">
        <v>206</v>
      </c>
      <c r="D59" s="6" t="s">
        <v>34</v>
      </c>
      <c r="E59" s="8" t="s">
        <v>20</v>
      </c>
      <c r="F59" s="9" t="s">
        <v>35</v>
      </c>
      <c r="G59" s="7">
        <v>2</v>
      </c>
      <c r="H59" s="10">
        <f>SUMIFS(Base_Tratada!$H:$H,Base_Tratada!$A:$A,$A59,Base_Tratada!$G:$G,$D59)</f>
        <v>-213.03</v>
      </c>
      <c r="I59" s="10">
        <f t="shared" si="2"/>
        <v>213.03</v>
      </c>
      <c r="J59" s="11">
        <f t="shared" si="3"/>
        <v>1.9622829444489098E-3</v>
      </c>
      <c r="K59" s="11"/>
      <c r="L59" s="25" t="s">
        <v>22</v>
      </c>
      <c r="M59" s="13" t="s">
        <v>22</v>
      </c>
      <c r="N59" s="14" t="s">
        <v>207</v>
      </c>
      <c r="O59" s="15" t="s">
        <v>208</v>
      </c>
    </row>
    <row r="60" spans="1:15" ht="15" hidden="1" customHeight="1" x14ac:dyDescent="0.35">
      <c r="A60" s="16" t="s">
        <v>209</v>
      </c>
      <c r="B60" s="17">
        <v>30010080</v>
      </c>
      <c r="C60" s="16" t="s">
        <v>210</v>
      </c>
      <c r="D60" s="16" t="s">
        <v>196</v>
      </c>
      <c r="E60" s="24" t="s">
        <v>40</v>
      </c>
      <c r="F60" s="19" t="s">
        <v>211</v>
      </c>
      <c r="G60" s="17">
        <v>1</v>
      </c>
      <c r="H60" s="20">
        <f>SUMIFS(Base_Tratada!$H:$H,Base_Tratada!$A:$A,$A60,Base_Tratada!$G:$G,$D60)</f>
        <v>-157.28</v>
      </c>
      <c r="I60" s="20">
        <f t="shared" si="2"/>
        <v>157.28</v>
      </c>
      <c r="J60" s="21">
        <f t="shared" si="3"/>
        <v>1.4487530465329978E-3</v>
      </c>
      <c r="K60" s="11"/>
      <c r="L60" s="26" t="s">
        <v>181</v>
      </c>
      <c r="M60" s="26" t="s">
        <v>212</v>
      </c>
      <c r="N60" s="22" t="s">
        <v>213</v>
      </c>
      <c r="O60" s="15" t="s">
        <v>101</v>
      </c>
    </row>
    <row r="61" spans="1:15" ht="15" hidden="1" customHeight="1" x14ac:dyDescent="0.35">
      <c r="A61" s="6" t="s">
        <v>214</v>
      </c>
      <c r="B61" s="7">
        <v>30010335</v>
      </c>
      <c r="C61" s="6" t="s">
        <v>215</v>
      </c>
      <c r="D61" s="6" t="s">
        <v>196</v>
      </c>
      <c r="E61" s="8" t="s">
        <v>20</v>
      </c>
      <c r="F61" s="9" t="s">
        <v>26</v>
      </c>
      <c r="G61" s="7">
        <v>1</v>
      </c>
      <c r="H61" s="10">
        <f>SUMIFS(Base_Tratada!$H:$H,Base_Tratada!$A:$A,$A61,Base_Tratada!$G:$G,$D61)</f>
        <v>-151.44999999999999</v>
      </c>
      <c r="I61" s="10">
        <f t="shared" si="2"/>
        <v>151.44999999999999</v>
      </c>
      <c r="J61" s="11">
        <f t="shared" si="3"/>
        <v>1.3950511755939884E-3</v>
      </c>
      <c r="K61" s="11"/>
      <c r="L61" s="25" t="s">
        <v>54</v>
      </c>
      <c r="M61" s="79" t="s">
        <v>22</v>
      </c>
      <c r="N61" s="14" t="s">
        <v>216</v>
      </c>
      <c r="O61" s="15" t="s">
        <v>217</v>
      </c>
    </row>
    <row r="62" spans="1:15" ht="15" hidden="1" customHeight="1" x14ac:dyDescent="0.35">
      <c r="A62" s="16" t="s">
        <v>218</v>
      </c>
      <c r="B62" s="17">
        <v>30013092</v>
      </c>
      <c r="C62" s="16" t="s">
        <v>219</v>
      </c>
      <c r="D62" s="16" t="s">
        <v>34</v>
      </c>
      <c r="E62" s="18" t="s">
        <v>20</v>
      </c>
      <c r="F62" s="19" t="s">
        <v>35</v>
      </c>
      <c r="G62" s="17">
        <v>1</v>
      </c>
      <c r="H62" s="20">
        <f>SUMIFS(Base_Tratada!$H:$H,Base_Tratada!$A:$A,$A62,Base_Tratada!$G:$G,$D62)</f>
        <v>-65.3</v>
      </c>
      <c r="I62" s="20">
        <f t="shared" si="2"/>
        <v>65.3</v>
      </c>
      <c r="J62" s="21">
        <f t="shared" si="3"/>
        <v>6.0149779971137296E-4</v>
      </c>
      <c r="K62" s="21"/>
      <c r="L62" s="12" t="s">
        <v>22</v>
      </c>
      <c r="M62" s="25" t="s">
        <v>54</v>
      </c>
      <c r="N62" s="22" t="s">
        <v>220</v>
      </c>
      <c r="O62" s="15" t="s">
        <v>101</v>
      </c>
    </row>
    <row r="63" spans="1:15" ht="15" hidden="1" customHeight="1" x14ac:dyDescent="0.35">
      <c r="A63" s="6" t="s">
        <v>221</v>
      </c>
      <c r="B63" s="7">
        <v>30011293</v>
      </c>
      <c r="C63" s="6" t="s">
        <v>222</v>
      </c>
      <c r="D63" s="6" t="s">
        <v>34</v>
      </c>
      <c r="E63" s="8" t="s">
        <v>20</v>
      </c>
      <c r="F63" s="9" t="s">
        <v>83</v>
      </c>
      <c r="G63" s="7">
        <v>1</v>
      </c>
      <c r="H63" s="10">
        <f>SUMIFS(Base_Tratada!$H:$H,Base_Tratada!$A:$A,$A63,Base_Tratada!$G:$G,$D63)</f>
        <v>-36.051666666999999</v>
      </c>
      <c r="I63" s="10">
        <f t="shared" si="2"/>
        <v>36.051666666999999</v>
      </c>
      <c r="J63" s="11">
        <f t="shared" si="3"/>
        <v>3.3208266732202678E-4</v>
      </c>
      <c r="K63" s="11"/>
      <c r="L63" s="80" t="s">
        <v>54</v>
      </c>
      <c r="M63" s="25" t="s">
        <v>54</v>
      </c>
      <c r="N63" s="14" t="s">
        <v>115</v>
      </c>
      <c r="O63" s="15" t="s">
        <v>116</v>
      </c>
    </row>
    <row r="64" spans="1:15" ht="15" hidden="1" customHeight="1" x14ac:dyDescent="0.35">
      <c r="A64" s="16" t="s">
        <v>223</v>
      </c>
      <c r="B64" s="17">
        <v>30011394</v>
      </c>
      <c r="C64" s="16" t="s">
        <v>224</v>
      </c>
      <c r="D64" s="16" t="s">
        <v>196</v>
      </c>
      <c r="E64" s="18" t="s">
        <v>20</v>
      </c>
      <c r="F64" s="19" t="s">
        <v>80</v>
      </c>
      <c r="G64" s="17">
        <v>1</v>
      </c>
      <c r="H64" s="20">
        <f>SUMIFS(Base_Tratada!$H:$H,Base_Tratada!$A:$A,$A64,Base_Tratada!$G:$G,$D64)</f>
        <v>0</v>
      </c>
      <c r="I64" s="20">
        <f t="shared" si="2"/>
        <v>0</v>
      </c>
      <c r="J64" s="21">
        <f t="shared" si="3"/>
        <v>0</v>
      </c>
      <c r="K64" s="21"/>
      <c r="L64" s="27" t="s">
        <v>225</v>
      </c>
      <c r="M64" s="13" t="s">
        <v>78</v>
      </c>
      <c r="N64" s="14" t="s">
        <v>226</v>
      </c>
      <c r="O64" s="28" t="s">
        <v>227</v>
      </c>
    </row>
    <row r="65" spans="1:15" ht="15" hidden="1" customHeight="1" x14ac:dyDescent="0.35">
      <c r="A65" s="6" t="s">
        <v>127</v>
      </c>
      <c r="B65" s="7">
        <v>30016543</v>
      </c>
      <c r="C65" s="6" t="s">
        <v>128</v>
      </c>
      <c r="D65" s="6" t="s">
        <v>196</v>
      </c>
      <c r="E65" s="23" t="s">
        <v>40</v>
      </c>
      <c r="F65" s="9" t="s">
        <v>26</v>
      </c>
      <c r="G65" s="7">
        <v>2</v>
      </c>
      <c r="H65" s="10">
        <f>SUMIFS(Base_Tratada!$H:$H,Base_Tratada!$A:$A,$A65,Base_Tratada!$G:$G,$D65)</f>
        <v>0</v>
      </c>
      <c r="I65" s="10">
        <f t="shared" si="2"/>
        <v>0</v>
      </c>
      <c r="J65" s="11">
        <f t="shared" si="3"/>
        <v>0</v>
      </c>
      <c r="K65" s="11"/>
      <c r="L65" s="27" t="s">
        <v>225</v>
      </c>
      <c r="M65" s="13" t="s">
        <v>22</v>
      </c>
      <c r="N65" s="14" t="s">
        <v>228</v>
      </c>
      <c r="O65" s="28" t="s">
        <v>227</v>
      </c>
    </row>
    <row r="66" spans="1:15" ht="15" hidden="1" customHeight="1" x14ac:dyDescent="0.35">
      <c r="A66" s="16" t="s">
        <v>74</v>
      </c>
      <c r="B66" s="17">
        <v>30016155</v>
      </c>
      <c r="C66" s="16" t="s">
        <v>75</v>
      </c>
      <c r="D66" s="16" t="s">
        <v>59</v>
      </c>
      <c r="E66" s="24" t="s">
        <v>40</v>
      </c>
      <c r="F66" s="19" t="s">
        <v>35</v>
      </c>
      <c r="G66" s="17">
        <v>1</v>
      </c>
      <c r="H66" s="20">
        <f>SUMIFS(Base_Tratada!$H:$H,Base_Tratada!$A:$A,$A66,Base_Tratada!$G:$G,$D66)</f>
        <v>0</v>
      </c>
      <c r="I66" s="20">
        <f t="shared" si="2"/>
        <v>0</v>
      </c>
      <c r="J66" s="21">
        <f t="shared" si="3"/>
        <v>0</v>
      </c>
      <c r="K66" s="21"/>
      <c r="L66" s="27" t="s">
        <v>225</v>
      </c>
      <c r="M66" s="79" t="s">
        <v>22</v>
      </c>
      <c r="N66" s="14" t="s">
        <v>229</v>
      </c>
      <c r="O66" s="28" t="s">
        <v>230</v>
      </c>
    </row>
    <row r="67" spans="1:15" ht="15" hidden="1" customHeight="1" x14ac:dyDescent="0.35">
      <c r="A67" s="29" t="s">
        <v>231</v>
      </c>
      <c r="B67" s="30"/>
      <c r="C67" s="29"/>
      <c r="D67" s="29"/>
      <c r="E67" s="31"/>
      <c r="F67" s="31"/>
      <c r="G67" s="30">
        <f>SUM(G5:G66)</f>
        <v>89</v>
      </c>
      <c r="H67" s="32">
        <f>SUM(H5:H66)</f>
        <v>-108562.32563333401</v>
      </c>
      <c r="I67" s="32">
        <f>SUM(I5:I66)</f>
        <v>108562.32563333401</v>
      </c>
      <c r="J67" s="33">
        <f>SUM(J5:J66)</f>
        <v>0.99999999999999989</v>
      </c>
      <c r="K67" s="33"/>
      <c r="L67" s="34"/>
      <c r="M67" s="34"/>
      <c r="N67" s="35"/>
      <c r="O67" s="35"/>
    </row>
    <row r="69" spans="1:15" ht="15" customHeight="1" x14ac:dyDescent="0.35">
      <c r="A69" s="36" t="s">
        <v>232</v>
      </c>
    </row>
    <row r="70" spans="1:15" ht="25.5" customHeight="1" x14ac:dyDescent="0.35">
      <c r="A70" s="82" t="s">
        <v>233</v>
      </c>
      <c r="B70" s="82"/>
      <c r="C70" s="82"/>
      <c r="D70" s="82"/>
      <c r="E70" s="82"/>
      <c r="F70" s="82"/>
      <c r="G70" s="82"/>
      <c r="H70" s="82"/>
      <c r="I70" s="82"/>
      <c r="J70" s="82"/>
      <c r="K70" s="1"/>
      <c r="L70" s="1"/>
    </row>
    <row r="71" spans="1:15" ht="25.5" customHeight="1" x14ac:dyDescent="0.35">
      <c r="A71" s="82" t="s">
        <v>234</v>
      </c>
      <c r="B71" s="82"/>
      <c r="C71" s="82"/>
      <c r="D71" s="82"/>
      <c r="E71" s="82"/>
      <c r="F71" s="82"/>
      <c r="G71" s="82"/>
      <c r="H71" s="82"/>
      <c r="I71" s="82"/>
      <c r="J71" s="82"/>
      <c r="K71" s="1"/>
      <c r="L71" s="1"/>
    </row>
    <row r="72" spans="1:15" ht="25.5" customHeight="1" x14ac:dyDescent="0.35">
      <c r="A72" s="82" t="s">
        <v>235</v>
      </c>
      <c r="B72" s="82"/>
      <c r="C72" s="82"/>
      <c r="D72" s="82"/>
      <c r="E72" s="82"/>
      <c r="F72" s="82"/>
      <c r="G72" s="82"/>
      <c r="H72" s="82"/>
      <c r="I72" s="82"/>
      <c r="J72" s="82"/>
      <c r="K72" s="1"/>
      <c r="L72" s="1"/>
    </row>
    <row r="73" spans="1:15" ht="25.5" customHeight="1" x14ac:dyDescent="0.35">
      <c r="A73" s="82" t="s">
        <v>236</v>
      </c>
      <c r="B73" s="82"/>
      <c r="C73" s="82"/>
      <c r="D73" s="82"/>
      <c r="E73" s="82"/>
      <c r="F73" s="82"/>
      <c r="G73" s="82"/>
      <c r="H73" s="82"/>
      <c r="I73" s="82"/>
      <c r="J73" s="82"/>
      <c r="K73" s="1"/>
      <c r="L73" s="1"/>
    </row>
    <row r="75" spans="1:15" ht="27.75" customHeight="1" x14ac:dyDescent="0.35">
      <c r="A75" s="82" t="s">
        <v>237</v>
      </c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</row>
    <row r="76" spans="1:15" ht="27.75" customHeight="1" x14ac:dyDescent="0.35">
      <c r="A76" s="82" t="s">
        <v>238</v>
      </c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</row>
    <row r="77" spans="1:15" ht="27.75" customHeight="1" x14ac:dyDescent="0.35">
      <c r="A77" s="82" t="s">
        <v>239</v>
      </c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</row>
    <row r="78" spans="1:15" ht="27.75" customHeight="1" x14ac:dyDescent="0.35">
      <c r="A78" s="83" t="s">
        <v>240</v>
      </c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</row>
    <row r="79" spans="1:15" ht="27.75" customHeight="1" x14ac:dyDescent="0.35">
      <c r="A79" s="83" t="s">
        <v>241</v>
      </c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</row>
    <row r="80" spans="1:15" ht="27.75" customHeight="1" x14ac:dyDescent="0.35">
      <c r="A80" s="83" t="s">
        <v>242</v>
      </c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</row>
    <row r="81" spans="1:15" ht="42" customHeight="1" x14ac:dyDescent="0.35">
      <c r="A81" s="82" t="s">
        <v>243</v>
      </c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</row>
    <row r="82" spans="1:15" ht="42" customHeight="1" x14ac:dyDescent="0.35">
      <c r="A82" s="84" t="s">
        <v>244</v>
      </c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</row>
  </sheetData>
  <autoFilter ref="A4:O67" xr:uid="{00000000-0009-0000-0000-000000000000}">
    <filterColumn colId="10">
      <customFilters>
        <customFilter operator="notEqual" val=" "/>
      </customFilters>
    </filterColumn>
  </autoFilter>
  <mergeCells count="13">
    <mergeCell ref="A80:N80"/>
    <mergeCell ref="A81:O81"/>
    <mergeCell ref="A82:O82"/>
    <mergeCell ref="A75:N75"/>
    <mergeCell ref="A76:N76"/>
    <mergeCell ref="A77:N77"/>
    <mergeCell ref="A78:N78"/>
    <mergeCell ref="A79:N79"/>
    <mergeCell ref="A2:J2"/>
    <mergeCell ref="A70:J70"/>
    <mergeCell ref="A71:J71"/>
    <mergeCell ref="A72:J72"/>
    <mergeCell ref="A73:J73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5"/>
  <sheetViews>
    <sheetView showGridLines="0" zoomScaleNormal="100" workbookViewId="0">
      <pane ySplit="3" topLeftCell="A4" activePane="bottomLeft" state="frozen"/>
      <selection pane="bottomLeft" activeCell="B65" sqref="B65"/>
    </sheetView>
  </sheetViews>
  <sheetFormatPr defaultColWidth="8.7265625" defaultRowHeight="14.5" x14ac:dyDescent="0.35"/>
  <cols>
    <col min="1" max="1" width="42" customWidth="1"/>
    <col min="2" max="9" width="17" customWidth="1"/>
    <col min="10" max="10" width="14" customWidth="1"/>
  </cols>
  <sheetData>
    <row r="1" spans="1:6" ht="19.5" customHeight="1" x14ac:dyDescent="0.4">
      <c r="A1" s="37" t="s">
        <v>245</v>
      </c>
    </row>
    <row r="2" spans="1:6" ht="15" customHeight="1" x14ac:dyDescent="0.35">
      <c r="A2" s="3" t="s">
        <v>246</v>
      </c>
    </row>
    <row r="4" spans="1:6" ht="15" customHeight="1" x14ac:dyDescent="0.35">
      <c r="A4" s="38" t="s">
        <v>247</v>
      </c>
      <c r="B4" s="39"/>
      <c r="C4" s="39"/>
      <c r="D4" s="39"/>
      <c r="E4" s="39"/>
      <c r="F4" s="39"/>
    </row>
    <row r="5" spans="1:6" ht="15" customHeight="1" x14ac:dyDescent="0.35">
      <c r="A5" s="4" t="s">
        <v>248</v>
      </c>
      <c r="B5" s="4" t="s">
        <v>249</v>
      </c>
      <c r="C5" s="4" t="s">
        <v>250</v>
      </c>
    </row>
    <row r="6" spans="1:6" ht="48" customHeight="1" x14ac:dyDescent="0.35">
      <c r="A6" s="40" t="s">
        <v>251</v>
      </c>
      <c r="B6" s="41">
        <f>SUMIFS(Base_Tratada!$H$5:$H$93,Base_Tratada!$F$5:$F$93,"Churn")+SUMIFS(Base_Tratada!$H$5:$H$93,Base_Tratada!$F$5:$F$93,"Downsell")</f>
        <v>-108562.32563333403</v>
      </c>
      <c r="C6" s="42" t="s">
        <v>252</v>
      </c>
    </row>
    <row r="7" spans="1:6" ht="36" customHeight="1" x14ac:dyDescent="0.35">
      <c r="A7" s="6" t="s">
        <v>253</v>
      </c>
      <c r="B7" s="43">
        <f>SUMIFS(Base_Tratada!$H$5:$H$93,Base_Tratada!$F$5:$F$93,"Churn")</f>
        <v>-54930.403966667014</v>
      </c>
      <c r="C7" s="44" t="s">
        <v>254</v>
      </c>
    </row>
    <row r="8" spans="1:6" ht="36" customHeight="1" x14ac:dyDescent="0.35">
      <c r="A8" s="16" t="s">
        <v>255</v>
      </c>
      <c r="B8" s="41">
        <f>SUMIFS(Base_Tratada!$H$5:$H$93,Base_Tratada!$F$5:$F$93,"Downsell")</f>
        <v>-53631.921666667011</v>
      </c>
      <c r="C8" s="42" t="s">
        <v>256</v>
      </c>
    </row>
    <row r="9" spans="1:6" ht="48" customHeight="1" x14ac:dyDescent="0.35">
      <c r="A9" s="45" t="s">
        <v>257</v>
      </c>
      <c r="B9" s="46">
        <f>SUMPRODUCT((Base_Tratada!$A$5:$A$93&lt;&gt;"")/COUNTIF(Base_Tratada!$A$5:$A$93,Base_Tratada!$A$5:$A$93&amp;""))</f>
        <v>57.999999999999993</v>
      </c>
      <c r="C9" s="44" t="s">
        <v>258</v>
      </c>
    </row>
    <row r="10" spans="1:6" ht="60" customHeight="1" x14ac:dyDescent="0.35">
      <c r="A10" s="40" t="s">
        <v>259</v>
      </c>
      <c r="B10" s="47">
        <f>SUM(Base_Tratada!$K$5:$K$93)</f>
        <v>64</v>
      </c>
      <c r="C10" s="42" t="s">
        <v>260</v>
      </c>
    </row>
    <row r="11" spans="1:6" ht="24" customHeight="1" x14ac:dyDescent="0.35">
      <c r="A11" s="45" t="s">
        <v>261</v>
      </c>
      <c r="B11" s="43">
        <f>AVERAGE(Dados_Origem!$I$5:$I$10)</f>
        <v>1325505.0360944469</v>
      </c>
      <c r="C11" s="44" t="s">
        <v>262</v>
      </c>
    </row>
    <row r="12" spans="1:6" ht="36" customHeight="1" x14ac:dyDescent="0.35">
      <c r="A12" s="40" t="s">
        <v>263</v>
      </c>
      <c r="B12" s="48">
        <f>-B6/6/B11</f>
        <v>1.3650435453796166E-2</v>
      </c>
      <c r="C12" s="42" t="s">
        <v>264</v>
      </c>
    </row>
    <row r="13" spans="1:6" ht="60" customHeight="1" x14ac:dyDescent="0.35">
      <c r="A13" s="45" t="s">
        <v>265</v>
      </c>
      <c r="B13" s="49">
        <f>1-(1-B12)^12</f>
        <v>0.15204991866084228</v>
      </c>
      <c r="C13" s="44" t="s">
        <v>266</v>
      </c>
    </row>
    <row r="14" spans="1:6" ht="48" customHeight="1" x14ac:dyDescent="0.35">
      <c r="A14" s="40" t="s">
        <v>267</v>
      </c>
      <c r="B14" s="48">
        <f>(Dados_Origem!$I$5+B6+Dados_Origem!$C$11+Dados_Origem!$D$11)/Dados_Origem!$I$5</f>
        <v>0.94506516528272833</v>
      </c>
      <c r="C14" s="42" t="s">
        <v>268</v>
      </c>
    </row>
    <row r="15" spans="1:6" ht="24" customHeight="1" x14ac:dyDescent="0.35">
      <c r="A15" s="45" t="s">
        <v>269</v>
      </c>
      <c r="B15" s="43">
        <f>Dados_Origem!$I$5/Dados_Origem!$J$5</f>
        <v>2821.0860901418509</v>
      </c>
      <c r="C15" s="44" t="s">
        <v>270</v>
      </c>
    </row>
    <row r="16" spans="1:6" ht="24" customHeight="1" x14ac:dyDescent="0.35">
      <c r="A16" s="40" t="s">
        <v>271</v>
      </c>
      <c r="B16" s="41">
        <f>Dados_Origem!$I$10/Dados_Origem!$J$10</f>
        <v>2685.5939345729957</v>
      </c>
      <c r="C16" s="42" t="s">
        <v>272</v>
      </c>
    </row>
    <row r="17" spans="1:9" ht="60" customHeight="1" x14ac:dyDescent="0.35">
      <c r="A17" s="45" t="s">
        <v>273</v>
      </c>
      <c r="B17" s="49">
        <f>(LARGE(Consolidado!$I$5:$I$66,1)+LARGE(Consolidado!$I$5:$I$66,2)+LARGE(Consolidado!$I$5:$I$66,3))/SUM(Consolidado!$I$5:$I$66)</f>
        <v>0.33904736090784515</v>
      </c>
      <c r="C17" s="44" t="s">
        <v>274</v>
      </c>
    </row>
    <row r="19" spans="1:9" ht="15" customHeight="1" x14ac:dyDescent="0.35">
      <c r="A19" s="38" t="s">
        <v>275</v>
      </c>
      <c r="B19" s="39"/>
      <c r="C19" s="39"/>
      <c r="D19" s="39"/>
      <c r="E19" s="39"/>
      <c r="F19" s="39"/>
      <c r="G19" s="39"/>
      <c r="H19" s="39"/>
    </row>
    <row r="20" spans="1:9" ht="25.5" customHeight="1" x14ac:dyDescent="0.35">
      <c r="A20" s="4" t="s">
        <v>276</v>
      </c>
      <c r="B20" s="4" t="s">
        <v>277</v>
      </c>
      <c r="C20" s="4" t="s">
        <v>278</v>
      </c>
      <c r="D20" s="4" t="s">
        <v>279</v>
      </c>
      <c r="E20" s="4" t="s">
        <v>280</v>
      </c>
      <c r="F20" s="4" t="s">
        <v>281</v>
      </c>
      <c r="G20" s="4" t="s">
        <v>282</v>
      </c>
      <c r="H20" s="4" t="s">
        <v>283</v>
      </c>
    </row>
    <row r="21" spans="1:9" ht="15" customHeight="1" x14ac:dyDescent="0.35">
      <c r="A21" s="9" t="s">
        <v>83</v>
      </c>
      <c r="B21" s="50">
        <f>SUMIFS(Base_Tratada!$H$5:$H$93,Base_Tratada!$E$5:$E$93,"2026-01",Base_Tratada!$F$5:$F$93,"Churn")</f>
        <v>-5119.17</v>
      </c>
      <c r="C21" s="50">
        <f>SUMIFS(Base_Tratada!$H$5:$H$93,Base_Tratada!$E$5:$E$93,"2026-01",Base_Tratada!$F$5:$F$93,"Downsell")</f>
        <v>-1693.5216666670001</v>
      </c>
      <c r="D21" s="50">
        <f t="shared" ref="D21:D26" si="0">B21+C21</f>
        <v>-6812.6916666670004</v>
      </c>
      <c r="E21" s="50">
        <f>Dados_Origem!$I$5</f>
        <v>1325910.4623666699</v>
      </c>
      <c r="F21" s="51">
        <f t="shared" ref="F21:F26" si="1">-D21/E21</f>
        <v>5.138123470650317E-3</v>
      </c>
      <c r="G21" s="7">
        <f>SUMIFS(Base_Tratada!$K$5:$K$93,Base_Tratada!$E$5:$E$93,"2026-01",Base_Tratada!$F$5:$F$93,"Churn")</f>
        <v>5</v>
      </c>
      <c r="H21" s="7">
        <f>SUMIFS(Base_Tratada!$K$5:$K$93,Base_Tratada!$E$5:$E$93,"2026-01",Base_Tratada!$F$5:$F$93,"Downsell")</f>
        <v>2</v>
      </c>
    </row>
    <row r="22" spans="1:9" ht="15" customHeight="1" x14ac:dyDescent="0.35">
      <c r="A22" s="9" t="s">
        <v>41</v>
      </c>
      <c r="B22" s="50">
        <f>SUMIFS(Base_Tratada!$H$5:$H$93,Base_Tratada!$E$5:$E$93,"2026-02",Base_Tratada!$F$5:$F$93,"Churn")</f>
        <v>-13233.29</v>
      </c>
      <c r="C22" s="50">
        <f>SUMIFS(Base_Tratada!$H$5:$H$93,Base_Tratada!$E$5:$E$93,"2026-02",Base_Tratada!$F$5:$F$93,"Downsell")</f>
        <v>-22881.82</v>
      </c>
      <c r="D22" s="50">
        <f t="shared" si="0"/>
        <v>-36115.11</v>
      </c>
      <c r="E22" s="50">
        <f>Dados_Origem!$I$6</f>
        <v>1320291.60060001</v>
      </c>
      <c r="F22" s="51">
        <f t="shared" si="1"/>
        <v>2.7353889082977877E-2</v>
      </c>
      <c r="G22" s="7">
        <f>SUMIFS(Base_Tratada!$K$5:$K$93,Base_Tratada!$E$5:$E$93,"2026-02",Base_Tratada!$F$5:$F$93,"Churn")</f>
        <v>9</v>
      </c>
      <c r="H22" s="7">
        <f>SUMIFS(Base_Tratada!$K$5:$K$93,Base_Tratada!$E$5:$E$93,"2026-02",Base_Tratada!$F$5:$F$93,"Downsell")</f>
        <v>8</v>
      </c>
    </row>
    <row r="23" spans="1:9" ht="15" customHeight="1" x14ac:dyDescent="0.35">
      <c r="A23" s="9" t="s">
        <v>80</v>
      </c>
      <c r="B23" s="50">
        <f>SUMIFS(Base_Tratada!$H$5:$H$93,Base_Tratada!$E$5:$E$93,"2026-03",Base_Tratada!$F$5:$F$93,"Churn")</f>
        <v>-4069.8698000000004</v>
      </c>
      <c r="C23" s="50">
        <f>SUMIFS(Base_Tratada!$H$5:$H$93,Base_Tratada!$E$5:$E$93,"2026-03",Base_Tratada!$F$5:$F$93,"Downsell")</f>
        <v>-561.54</v>
      </c>
      <c r="D23" s="50">
        <f t="shared" si="0"/>
        <v>-4631.4098000000004</v>
      </c>
      <c r="E23" s="50">
        <f>Dados_Origem!$I$7</f>
        <v>1337681.5416333401</v>
      </c>
      <c r="F23" s="51">
        <f t="shared" si="1"/>
        <v>3.4622663585123122E-3</v>
      </c>
      <c r="G23" s="7">
        <f>SUMIFS(Base_Tratada!$K$5:$K$93,Base_Tratada!$E$5:$E$93,"2026-03",Base_Tratada!$F$5:$F$93,"Churn")</f>
        <v>4</v>
      </c>
      <c r="H23" s="7">
        <f>SUMIFS(Base_Tratada!$K$5:$K$93,Base_Tratada!$E$5:$E$93,"2026-03",Base_Tratada!$F$5:$F$93,"Downsell")</f>
        <v>2</v>
      </c>
    </row>
    <row r="24" spans="1:9" ht="15" customHeight="1" x14ac:dyDescent="0.35">
      <c r="A24" s="9" t="s">
        <v>211</v>
      </c>
      <c r="B24" s="50">
        <f>SUMIFS(Base_Tratada!$H$5:$H$93,Base_Tratada!$E$5:$E$93,"2026-04",Base_Tratada!$F$5:$F$93,"Churn")</f>
        <v>-157.28</v>
      </c>
      <c r="C24" s="50">
        <f>SUMIFS(Base_Tratada!$H$5:$H$93,Base_Tratada!$E$5:$E$93,"2026-04",Base_Tratada!$F$5:$F$93,"Downsell")</f>
        <v>0</v>
      </c>
      <c r="D24" s="50">
        <f t="shared" si="0"/>
        <v>-157.28</v>
      </c>
      <c r="E24" s="50">
        <f>Dados_Origem!$I$8</f>
        <v>1340358.7933</v>
      </c>
      <c r="F24" s="51">
        <f t="shared" si="1"/>
        <v>1.1734171535725321E-4</v>
      </c>
      <c r="G24" s="7">
        <f>SUMIFS(Base_Tratada!$K$5:$K$93,Base_Tratada!$E$5:$E$93,"2026-04",Base_Tratada!$F$5:$F$93,"Churn")</f>
        <v>1</v>
      </c>
      <c r="H24" s="7">
        <f>SUMIFS(Base_Tratada!$K$5:$K$93,Base_Tratada!$E$5:$E$93,"2026-04",Base_Tratada!$F$5:$F$93,"Downsell")</f>
        <v>0</v>
      </c>
    </row>
    <row r="25" spans="1:9" ht="15" customHeight="1" x14ac:dyDescent="0.35">
      <c r="A25" s="9" t="s">
        <v>35</v>
      </c>
      <c r="B25" s="50">
        <f>SUMIFS(Base_Tratada!$H$5:$H$93,Base_Tratada!$E$5:$E$93,"2026-05",Base_Tratada!$F$5:$F$93,"Churn")</f>
        <v>-13849.484166667</v>
      </c>
      <c r="C25" s="50">
        <f>SUMIFS(Base_Tratada!$H$5:$H$93,Base_Tratada!$E$5:$E$93,"2026-05",Base_Tratada!$F$5:$F$93,"Downsell")</f>
        <v>-12235.119999999999</v>
      </c>
      <c r="D25" s="50">
        <f t="shared" si="0"/>
        <v>-26084.604166666999</v>
      </c>
      <c r="E25" s="50">
        <f>Dados_Origem!$I$9</f>
        <v>1328960.3543333299</v>
      </c>
      <c r="F25" s="51">
        <f t="shared" si="1"/>
        <v>1.962782718206239E-2</v>
      </c>
      <c r="G25" s="7">
        <f>SUMIFS(Base_Tratada!$K$5:$K$93,Base_Tratada!$E$5:$E$93,"2026-05",Base_Tratada!$F$5:$F$93,"Churn")</f>
        <v>8</v>
      </c>
      <c r="H25" s="7">
        <f>SUMIFS(Base_Tratada!$K$5:$K$93,Base_Tratada!$E$5:$E$93,"2026-05",Base_Tratada!$F$5:$F$93,"Downsell")</f>
        <v>6</v>
      </c>
    </row>
    <row r="26" spans="1:9" ht="15" customHeight="1" x14ac:dyDescent="0.35">
      <c r="A26" s="9" t="s">
        <v>26</v>
      </c>
      <c r="B26" s="50">
        <f>SUMIFS(Base_Tratada!$H$5:$H$93,Base_Tratada!$E$5:$E$93,"2026-06",Base_Tratada!$F$5:$F$93,"Churn")</f>
        <v>-18501.309999999998</v>
      </c>
      <c r="C26" s="50">
        <f>SUMIFS(Base_Tratada!$H$5:$H$93,Base_Tratada!$E$5:$E$93,"2026-06",Base_Tratada!$F$5:$F$93,"Downsell")</f>
        <v>-16259.92</v>
      </c>
      <c r="D26" s="50">
        <f t="shared" si="0"/>
        <v>-34761.229999999996</v>
      </c>
      <c r="E26" s="50">
        <f>Dados_Origem!$I$10</f>
        <v>1299827.46433333</v>
      </c>
      <c r="F26" s="51">
        <f t="shared" si="1"/>
        <v>2.6742957010705049E-2</v>
      </c>
      <c r="G26" s="7">
        <f>SUMIFS(Base_Tratada!$K$5:$K$93,Base_Tratada!$E$5:$E$93,"2026-06",Base_Tratada!$F$5:$F$93,"Churn")</f>
        <v>14</v>
      </c>
      <c r="H26" s="7">
        <f>SUMIFS(Base_Tratada!$K$5:$K$93,Base_Tratada!$E$5:$E$93,"2026-06",Base_Tratada!$F$5:$F$93,"Downsell")</f>
        <v>5</v>
      </c>
    </row>
    <row r="27" spans="1:9" ht="15" customHeight="1" x14ac:dyDescent="0.35">
      <c r="A27" s="31" t="s">
        <v>231</v>
      </c>
      <c r="B27" s="52">
        <f>SUM(B21:B26)</f>
        <v>-54930.403966667</v>
      </c>
      <c r="C27" s="52">
        <f>SUM(C21:C26)</f>
        <v>-53631.921666666996</v>
      </c>
      <c r="D27" s="52">
        <f>SUM(D21:D26)</f>
        <v>-108562.325633334</v>
      </c>
      <c r="E27" s="52">
        <f>AVERAGE(E21:E26)</f>
        <v>1325505.0360944469</v>
      </c>
      <c r="F27" s="53">
        <f>-D27/E27/6</f>
        <v>1.3650435453796163E-2</v>
      </c>
      <c r="G27" s="30">
        <f>SUM(G21:G26)</f>
        <v>41</v>
      </c>
      <c r="H27" s="30">
        <f>SUM(H21:H26)</f>
        <v>23</v>
      </c>
    </row>
    <row r="29" spans="1:9" ht="15" customHeight="1" x14ac:dyDescent="0.35">
      <c r="A29" s="38" t="s">
        <v>284</v>
      </c>
      <c r="B29" s="39"/>
      <c r="C29" s="39"/>
      <c r="D29" s="39"/>
      <c r="E29" s="39"/>
      <c r="F29" s="39"/>
      <c r="G29" s="39"/>
      <c r="H29" s="39"/>
      <c r="I29" s="39"/>
    </row>
    <row r="30" spans="1:9" ht="15" customHeight="1" x14ac:dyDescent="0.35">
      <c r="A30" s="36" t="s">
        <v>285</v>
      </c>
    </row>
    <row r="31" spans="1:9" ht="15" customHeight="1" x14ac:dyDescent="0.35">
      <c r="A31" s="4" t="s">
        <v>5</v>
      </c>
      <c r="B31" s="4" t="s">
        <v>83</v>
      </c>
      <c r="C31" s="4" t="s">
        <v>41</v>
      </c>
      <c r="D31" s="4" t="s">
        <v>80</v>
      </c>
      <c r="E31" s="4" t="s">
        <v>211</v>
      </c>
      <c r="F31" s="4" t="s">
        <v>35</v>
      </c>
      <c r="G31" s="4" t="s">
        <v>26</v>
      </c>
      <c r="H31" s="4" t="s">
        <v>286</v>
      </c>
    </row>
    <row r="32" spans="1:9" ht="15" customHeight="1" x14ac:dyDescent="0.35">
      <c r="A32" s="16" t="s">
        <v>79</v>
      </c>
      <c r="B32" s="17">
        <f>SUMIFS(Base_Tratada!$K$5:$K$93,Base_Tratada!$E$5:$E$93,"2026-01",Base_Tratada!$F$5:$F$93,"Churn",Base_Tratada!$G$5:$G$93,$A32)</f>
        <v>0</v>
      </c>
      <c r="C32" s="17">
        <f>SUMIFS(Base_Tratada!$K$5:$K$93,Base_Tratada!$E$5:$E$93,"2026-02",Base_Tratada!$F$5:$F$93,"Churn",Base_Tratada!$G$5:$G$93,$A32)</f>
        <v>0</v>
      </c>
      <c r="D32" s="17">
        <f>SUMIFS(Base_Tratada!$K$5:$K$93,Base_Tratada!$E$5:$E$93,"2026-03",Base_Tratada!$F$5:$F$93,"Churn",Base_Tratada!$G$5:$G$93,$A32)</f>
        <v>1</v>
      </c>
      <c r="E32" s="17">
        <f>SUMIFS(Base_Tratada!$K$5:$K$93,Base_Tratada!$E$5:$E$93,"2026-04",Base_Tratada!$F$5:$F$93,"Churn",Base_Tratada!$G$5:$G$93,$A32)</f>
        <v>0</v>
      </c>
      <c r="F32" s="17">
        <f>SUMIFS(Base_Tratada!$K$5:$K$93,Base_Tratada!$E$5:$E$93,"2026-05",Base_Tratada!$F$5:$F$93,"Churn",Base_Tratada!$G$5:$G$93,$A32)</f>
        <v>0</v>
      </c>
      <c r="G32" s="17">
        <f>SUMIFS(Base_Tratada!$K$5:$K$93,Base_Tratada!$E$5:$E$93,"2026-06",Base_Tratada!$F$5:$F$93,"Churn",Base_Tratada!$G$5:$G$93,$A32)</f>
        <v>0</v>
      </c>
      <c r="H32" s="17">
        <f t="shared" ref="H32:H37" si="2">SUM(B32:G32)</f>
        <v>1</v>
      </c>
    </row>
    <row r="33" spans="1:8" ht="15" customHeight="1" x14ac:dyDescent="0.35">
      <c r="A33" s="6" t="s">
        <v>196</v>
      </c>
      <c r="B33" s="7">
        <f>SUMIFS(Base_Tratada!$K$5:$K$93,Base_Tratada!$E$5:$E$93,"2026-01",Base_Tratada!$F$5:$F$93,"Churn",Base_Tratada!$G$5:$G$93,$A33)</f>
        <v>0</v>
      </c>
      <c r="C33" s="7">
        <f>SUMIFS(Base_Tratada!$K$5:$K$93,Base_Tratada!$E$5:$E$93,"2026-02",Base_Tratada!$F$5:$F$93,"Churn",Base_Tratada!$G$5:$G$93,$A33)</f>
        <v>0</v>
      </c>
      <c r="D33" s="7">
        <f>SUMIFS(Base_Tratada!$K$5:$K$93,Base_Tratada!$E$5:$E$93,"2026-03",Base_Tratada!$F$5:$F$93,"Churn",Base_Tratada!$G$5:$G$93,$A33)</f>
        <v>0</v>
      </c>
      <c r="E33" s="7">
        <f>SUMIFS(Base_Tratada!$K$5:$K$93,Base_Tratada!$E$5:$E$93,"2026-04",Base_Tratada!$F$5:$F$93,"Churn",Base_Tratada!$G$5:$G$93,$A33)</f>
        <v>1</v>
      </c>
      <c r="F33" s="7">
        <f>SUMIFS(Base_Tratada!$K$5:$K$93,Base_Tratada!$E$5:$E$93,"2026-05",Base_Tratada!$F$5:$F$93,"Churn",Base_Tratada!$G$5:$G$93,$A33)</f>
        <v>0</v>
      </c>
      <c r="G33" s="7">
        <f>SUMIFS(Base_Tratada!$K$5:$K$93,Base_Tratada!$E$5:$E$93,"2026-06",Base_Tratada!$F$5:$F$93,"Churn",Base_Tratada!$G$5:$G$93,$A33)</f>
        <v>1</v>
      </c>
      <c r="H33" s="7">
        <f t="shared" si="2"/>
        <v>2</v>
      </c>
    </row>
    <row r="34" spans="1:8" ht="15" customHeight="1" x14ac:dyDescent="0.35">
      <c r="A34" s="16" t="s">
        <v>19</v>
      </c>
      <c r="B34" s="17">
        <f>SUMIFS(Base_Tratada!$K$5:$K$93,Base_Tratada!$E$5:$E$93,"2026-01",Base_Tratada!$F$5:$F$93,"Churn",Base_Tratada!$G$5:$G$93,$A34)</f>
        <v>0</v>
      </c>
      <c r="C34" s="17">
        <f>SUMIFS(Base_Tratada!$K$5:$K$93,Base_Tratada!$E$5:$E$93,"2026-02",Base_Tratada!$F$5:$F$93,"Churn",Base_Tratada!$G$5:$G$93,$A34)</f>
        <v>2</v>
      </c>
      <c r="D34" s="17">
        <f>SUMIFS(Base_Tratada!$K$5:$K$93,Base_Tratada!$E$5:$E$93,"2026-03",Base_Tratada!$F$5:$F$93,"Churn",Base_Tratada!$G$5:$G$93,$A34)</f>
        <v>1</v>
      </c>
      <c r="E34" s="17">
        <f>SUMIFS(Base_Tratada!$K$5:$K$93,Base_Tratada!$E$5:$E$93,"2026-04",Base_Tratada!$F$5:$F$93,"Churn",Base_Tratada!$G$5:$G$93,$A34)</f>
        <v>0</v>
      </c>
      <c r="F34" s="17">
        <f>SUMIFS(Base_Tratada!$K$5:$K$93,Base_Tratada!$E$5:$E$93,"2026-05",Base_Tratada!$F$5:$F$93,"Churn",Base_Tratada!$G$5:$G$93,$A34)</f>
        <v>2</v>
      </c>
      <c r="G34" s="17">
        <f>SUMIFS(Base_Tratada!$K$5:$K$93,Base_Tratada!$E$5:$E$93,"2026-06",Base_Tratada!$F$5:$F$93,"Churn",Base_Tratada!$G$5:$G$93,$A34)</f>
        <v>4</v>
      </c>
      <c r="H34" s="17">
        <f t="shared" si="2"/>
        <v>9</v>
      </c>
    </row>
    <row r="35" spans="1:8" ht="15" customHeight="1" x14ac:dyDescent="0.35">
      <c r="A35" s="6" t="s">
        <v>59</v>
      </c>
      <c r="B35" s="7">
        <f>SUMIFS(Base_Tratada!$K$5:$K$93,Base_Tratada!$E$5:$E$93,"2026-01",Base_Tratada!$F$5:$F$93,"Churn",Base_Tratada!$G$5:$G$93,$A35)</f>
        <v>1</v>
      </c>
      <c r="C35" s="7">
        <f>SUMIFS(Base_Tratada!$K$5:$K$93,Base_Tratada!$E$5:$E$93,"2026-02",Base_Tratada!$F$5:$F$93,"Churn",Base_Tratada!$G$5:$G$93,$A35)</f>
        <v>0</v>
      </c>
      <c r="D35" s="7">
        <f>SUMIFS(Base_Tratada!$K$5:$K$93,Base_Tratada!$E$5:$E$93,"2026-03",Base_Tratada!$F$5:$F$93,"Churn",Base_Tratada!$G$5:$G$93,$A35)</f>
        <v>0</v>
      </c>
      <c r="E35" s="7">
        <f>SUMIFS(Base_Tratada!$K$5:$K$93,Base_Tratada!$E$5:$E$93,"2026-04",Base_Tratada!$F$5:$F$93,"Churn",Base_Tratada!$G$5:$G$93,$A35)</f>
        <v>0</v>
      </c>
      <c r="F35" s="7">
        <f>SUMIFS(Base_Tratada!$K$5:$K$93,Base_Tratada!$E$5:$E$93,"2026-05",Base_Tratada!$F$5:$F$93,"Churn",Base_Tratada!$G$5:$G$93,$A35)</f>
        <v>2</v>
      </c>
      <c r="G35" s="7">
        <f>SUMIFS(Base_Tratada!$K$5:$K$93,Base_Tratada!$E$5:$E$93,"2026-06",Base_Tratada!$F$5:$F$93,"Churn",Base_Tratada!$G$5:$G$93,$A35)</f>
        <v>1</v>
      </c>
      <c r="H35" s="7">
        <f t="shared" si="2"/>
        <v>4</v>
      </c>
    </row>
    <row r="36" spans="1:8" ht="15" customHeight="1" x14ac:dyDescent="0.35">
      <c r="A36" s="16" t="s">
        <v>34</v>
      </c>
      <c r="B36" s="17">
        <f>SUMIFS(Base_Tratada!$K$5:$K$93,Base_Tratada!$E$5:$E$93,"2026-01",Base_Tratada!$F$5:$F$93,"Churn",Base_Tratada!$G$5:$G$93,$A36)</f>
        <v>4</v>
      </c>
      <c r="C36" s="17">
        <f>SUMIFS(Base_Tratada!$K$5:$K$93,Base_Tratada!$E$5:$E$93,"2026-02",Base_Tratada!$F$5:$F$93,"Churn",Base_Tratada!$G$5:$G$93,$A36)</f>
        <v>4</v>
      </c>
      <c r="D36" s="17">
        <f>SUMIFS(Base_Tratada!$K$5:$K$93,Base_Tratada!$E$5:$E$93,"2026-03",Base_Tratada!$F$5:$F$93,"Churn",Base_Tratada!$G$5:$G$93,$A36)</f>
        <v>1</v>
      </c>
      <c r="E36" s="17">
        <f>SUMIFS(Base_Tratada!$K$5:$K$93,Base_Tratada!$E$5:$E$93,"2026-04",Base_Tratada!$F$5:$F$93,"Churn",Base_Tratada!$G$5:$G$93,$A36)</f>
        <v>0</v>
      </c>
      <c r="F36" s="17">
        <f>SUMIFS(Base_Tratada!$K$5:$K$93,Base_Tratada!$E$5:$E$93,"2026-05",Base_Tratada!$F$5:$F$93,"Churn",Base_Tratada!$G$5:$G$93,$A36)</f>
        <v>4</v>
      </c>
      <c r="G36" s="17">
        <f>SUMIFS(Base_Tratada!$K$5:$K$93,Base_Tratada!$E$5:$E$93,"2026-06",Base_Tratada!$F$5:$F$93,"Churn",Base_Tratada!$G$5:$G$93,$A36)</f>
        <v>8</v>
      </c>
      <c r="H36" s="17">
        <f t="shared" si="2"/>
        <v>21</v>
      </c>
    </row>
    <row r="37" spans="1:8" ht="15" customHeight="1" x14ac:dyDescent="0.35">
      <c r="A37" s="6" t="s">
        <v>87</v>
      </c>
      <c r="B37" s="7">
        <f>SUMIFS(Base_Tratada!$K$5:$K$93,Base_Tratada!$E$5:$E$93,"2026-01",Base_Tratada!$F$5:$F$93,"Churn",Base_Tratada!$G$5:$G$93,$A37)</f>
        <v>0</v>
      </c>
      <c r="C37" s="7">
        <f>SUMIFS(Base_Tratada!$K$5:$K$93,Base_Tratada!$E$5:$E$93,"2026-02",Base_Tratada!$F$5:$F$93,"Churn",Base_Tratada!$G$5:$G$93,$A37)</f>
        <v>3</v>
      </c>
      <c r="D37" s="7">
        <f>SUMIFS(Base_Tratada!$K$5:$K$93,Base_Tratada!$E$5:$E$93,"2026-03",Base_Tratada!$F$5:$F$93,"Churn",Base_Tratada!$G$5:$G$93,$A37)</f>
        <v>1</v>
      </c>
      <c r="E37" s="7">
        <f>SUMIFS(Base_Tratada!$K$5:$K$93,Base_Tratada!$E$5:$E$93,"2026-04",Base_Tratada!$F$5:$F$93,"Churn",Base_Tratada!$G$5:$G$93,$A37)</f>
        <v>0</v>
      </c>
      <c r="F37" s="7">
        <f>SUMIFS(Base_Tratada!$K$5:$K$93,Base_Tratada!$E$5:$E$93,"2026-05",Base_Tratada!$F$5:$F$93,"Churn",Base_Tratada!$G$5:$G$93,$A37)</f>
        <v>0</v>
      </c>
      <c r="G37" s="7">
        <f>SUMIFS(Base_Tratada!$K$5:$K$93,Base_Tratada!$E$5:$E$93,"2026-06",Base_Tratada!$F$5:$F$93,"Churn",Base_Tratada!$G$5:$G$93,$A37)</f>
        <v>0</v>
      </c>
      <c r="H37" s="7">
        <f t="shared" si="2"/>
        <v>4</v>
      </c>
    </row>
    <row r="38" spans="1:8" ht="15" customHeight="1" x14ac:dyDescent="0.35">
      <c r="A38" s="29" t="s">
        <v>231</v>
      </c>
      <c r="B38" s="30">
        <f t="shared" ref="B38:H38" si="3">SUM(B32:B37)</f>
        <v>5</v>
      </c>
      <c r="C38" s="30">
        <f t="shared" si="3"/>
        <v>9</v>
      </c>
      <c r="D38" s="30">
        <f t="shared" si="3"/>
        <v>4</v>
      </c>
      <c r="E38" s="30">
        <f t="shared" si="3"/>
        <v>1</v>
      </c>
      <c r="F38" s="30">
        <f t="shared" si="3"/>
        <v>8</v>
      </c>
      <c r="G38" s="30">
        <f t="shared" si="3"/>
        <v>14</v>
      </c>
      <c r="H38" s="30">
        <f t="shared" si="3"/>
        <v>41</v>
      </c>
    </row>
    <row r="39" spans="1:8" ht="15" customHeight="1" x14ac:dyDescent="0.35">
      <c r="A39" s="54" t="s">
        <v>287</v>
      </c>
    </row>
    <row r="40" spans="1:8" ht="15" customHeight="1" x14ac:dyDescent="0.35">
      <c r="A40" s="4" t="s">
        <v>5</v>
      </c>
      <c r="B40" s="4" t="s">
        <v>83</v>
      </c>
      <c r="C40" s="4" t="s">
        <v>41</v>
      </c>
      <c r="D40" s="4" t="s">
        <v>80</v>
      </c>
      <c r="E40" s="4" t="s">
        <v>211</v>
      </c>
      <c r="F40" s="4" t="s">
        <v>35</v>
      </c>
      <c r="G40" s="4" t="s">
        <v>26</v>
      </c>
      <c r="H40" s="4" t="s">
        <v>286</v>
      </c>
    </row>
    <row r="41" spans="1:8" ht="15" customHeight="1" x14ac:dyDescent="0.35">
      <c r="A41" s="6" t="s">
        <v>79</v>
      </c>
      <c r="B41" s="7">
        <f>SUMIFS(Base_Tratada!$K$5:$K$93,Base_Tratada!$E$5:$E$93,"2026-01",Base_Tratada!$F$5:$F$93,"Downsell",Base_Tratada!$G$5:$G$93,$A41)</f>
        <v>0</v>
      </c>
      <c r="C41" s="7">
        <f>SUMIFS(Base_Tratada!$K$5:$K$93,Base_Tratada!$E$5:$E$93,"2026-02",Base_Tratada!$F$5:$F$93,"Downsell",Base_Tratada!$G$5:$G$93,$A41)</f>
        <v>0</v>
      </c>
      <c r="D41" s="7">
        <f>SUMIFS(Base_Tratada!$K$5:$K$93,Base_Tratada!$E$5:$E$93,"2026-03",Base_Tratada!$F$5:$F$93,"Downsell",Base_Tratada!$G$5:$G$93,$A41)</f>
        <v>0</v>
      </c>
      <c r="E41" s="7">
        <f>SUMIFS(Base_Tratada!$K$5:$K$93,Base_Tratada!$E$5:$E$93,"2026-04",Base_Tratada!$F$5:$F$93,"Downsell",Base_Tratada!$G$5:$G$93,$A41)</f>
        <v>0</v>
      </c>
      <c r="F41" s="7">
        <f>SUMIFS(Base_Tratada!$K$5:$K$93,Base_Tratada!$E$5:$E$93,"2026-05",Base_Tratada!$F$5:$F$93,"Downsell",Base_Tratada!$G$5:$G$93,$A41)</f>
        <v>0</v>
      </c>
      <c r="G41" s="7">
        <f>SUMIFS(Base_Tratada!$K$5:$K$93,Base_Tratada!$E$5:$E$93,"2026-06",Base_Tratada!$F$5:$F$93,"Downsell",Base_Tratada!$G$5:$G$93,$A41)</f>
        <v>0</v>
      </c>
      <c r="H41" s="7">
        <f t="shared" ref="H41:H46" si="4">SUM(B41:G41)</f>
        <v>0</v>
      </c>
    </row>
    <row r="42" spans="1:8" ht="15" customHeight="1" x14ac:dyDescent="0.35">
      <c r="A42" s="16" t="s">
        <v>196</v>
      </c>
      <c r="B42" s="17">
        <f>SUMIFS(Base_Tratada!$K$5:$K$93,Base_Tratada!$E$5:$E$93,"2026-01",Base_Tratada!$F$5:$F$93,"Downsell",Base_Tratada!$G$5:$G$93,$A42)</f>
        <v>0</v>
      </c>
      <c r="C42" s="17">
        <f>SUMIFS(Base_Tratada!$K$5:$K$93,Base_Tratada!$E$5:$E$93,"2026-02",Base_Tratada!$F$5:$F$93,"Downsell",Base_Tratada!$G$5:$G$93,$A42)</f>
        <v>0</v>
      </c>
      <c r="D42" s="17">
        <f>SUMIFS(Base_Tratada!$K$5:$K$93,Base_Tratada!$E$5:$E$93,"2026-03",Base_Tratada!$F$5:$F$93,"Downsell",Base_Tratada!$G$5:$G$93,$A42)</f>
        <v>1</v>
      </c>
      <c r="E42" s="17">
        <f>SUMIFS(Base_Tratada!$K$5:$K$93,Base_Tratada!$E$5:$E$93,"2026-04",Base_Tratada!$F$5:$F$93,"Downsell",Base_Tratada!$G$5:$G$93,$A42)</f>
        <v>0</v>
      </c>
      <c r="F42" s="17">
        <f>SUMIFS(Base_Tratada!$K$5:$K$93,Base_Tratada!$E$5:$E$93,"2026-05",Base_Tratada!$F$5:$F$93,"Downsell",Base_Tratada!$G$5:$G$93,$A42)</f>
        <v>0</v>
      </c>
      <c r="G42" s="17">
        <f>SUMIFS(Base_Tratada!$K$5:$K$93,Base_Tratada!$E$5:$E$93,"2026-06",Base_Tratada!$F$5:$F$93,"Downsell",Base_Tratada!$G$5:$G$93,$A42)</f>
        <v>2</v>
      </c>
      <c r="H42" s="17">
        <f t="shared" si="4"/>
        <v>3</v>
      </c>
    </row>
    <row r="43" spans="1:8" ht="15" customHeight="1" x14ac:dyDescent="0.35">
      <c r="A43" s="6" t="s">
        <v>19</v>
      </c>
      <c r="B43" s="7">
        <f>SUMIFS(Base_Tratada!$K$5:$K$93,Base_Tratada!$E$5:$E$93,"2026-01",Base_Tratada!$F$5:$F$93,"Downsell",Base_Tratada!$G$5:$G$93,$A43)</f>
        <v>1</v>
      </c>
      <c r="C43" s="7">
        <f>SUMIFS(Base_Tratada!$K$5:$K$93,Base_Tratada!$E$5:$E$93,"2026-02",Base_Tratada!$F$5:$F$93,"Downsell",Base_Tratada!$G$5:$G$93,$A43)</f>
        <v>3</v>
      </c>
      <c r="D43" s="7">
        <f>SUMIFS(Base_Tratada!$K$5:$K$93,Base_Tratada!$E$5:$E$93,"2026-03",Base_Tratada!$F$5:$F$93,"Downsell",Base_Tratada!$G$5:$G$93,$A43)</f>
        <v>1</v>
      </c>
      <c r="E43" s="7">
        <f>SUMIFS(Base_Tratada!$K$5:$K$93,Base_Tratada!$E$5:$E$93,"2026-04",Base_Tratada!$F$5:$F$93,"Downsell",Base_Tratada!$G$5:$G$93,$A43)</f>
        <v>0</v>
      </c>
      <c r="F43" s="7">
        <f>SUMIFS(Base_Tratada!$K$5:$K$93,Base_Tratada!$E$5:$E$93,"2026-05",Base_Tratada!$F$5:$F$93,"Downsell",Base_Tratada!$G$5:$G$93,$A43)</f>
        <v>3</v>
      </c>
      <c r="G43" s="7">
        <f>SUMIFS(Base_Tratada!$K$5:$K$93,Base_Tratada!$E$5:$E$93,"2026-06",Base_Tratada!$F$5:$F$93,"Downsell",Base_Tratada!$G$5:$G$93,$A43)</f>
        <v>3</v>
      </c>
      <c r="H43" s="7">
        <f t="shared" si="4"/>
        <v>11</v>
      </c>
    </row>
    <row r="44" spans="1:8" ht="15" customHeight="1" x14ac:dyDescent="0.35">
      <c r="A44" s="16" t="s">
        <v>59</v>
      </c>
      <c r="B44" s="17">
        <f>SUMIFS(Base_Tratada!$K$5:$K$93,Base_Tratada!$E$5:$E$93,"2026-01",Base_Tratada!$F$5:$F$93,"Downsell",Base_Tratada!$G$5:$G$93,$A44)</f>
        <v>0</v>
      </c>
      <c r="C44" s="17">
        <f>SUMIFS(Base_Tratada!$K$5:$K$93,Base_Tratada!$E$5:$E$93,"2026-02",Base_Tratada!$F$5:$F$93,"Downsell",Base_Tratada!$G$5:$G$93,$A44)</f>
        <v>0</v>
      </c>
      <c r="D44" s="17">
        <f>SUMIFS(Base_Tratada!$K$5:$K$93,Base_Tratada!$E$5:$E$93,"2026-03",Base_Tratada!$F$5:$F$93,"Downsell",Base_Tratada!$G$5:$G$93,$A44)</f>
        <v>0</v>
      </c>
      <c r="E44" s="17">
        <f>SUMIFS(Base_Tratada!$K$5:$K$93,Base_Tratada!$E$5:$E$93,"2026-04",Base_Tratada!$F$5:$F$93,"Downsell",Base_Tratada!$G$5:$G$93,$A44)</f>
        <v>0</v>
      </c>
      <c r="F44" s="17">
        <f>SUMIFS(Base_Tratada!$K$5:$K$93,Base_Tratada!$E$5:$E$93,"2026-05",Base_Tratada!$F$5:$F$93,"Downsell",Base_Tratada!$G$5:$G$93,$A44)</f>
        <v>0</v>
      </c>
      <c r="G44" s="17">
        <f>SUMIFS(Base_Tratada!$K$5:$K$93,Base_Tratada!$E$5:$E$93,"2026-06",Base_Tratada!$F$5:$F$93,"Downsell",Base_Tratada!$G$5:$G$93,$A44)</f>
        <v>0</v>
      </c>
      <c r="H44" s="17">
        <f t="shared" si="4"/>
        <v>0</v>
      </c>
    </row>
    <row r="45" spans="1:8" ht="15" customHeight="1" x14ac:dyDescent="0.35">
      <c r="A45" s="6" t="s">
        <v>34</v>
      </c>
      <c r="B45" s="7">
        <f>SUMIFS(Base_Tratada!$K$5:$K$93,Base_Tratada!$E$5:$E$93,"2026-01",Base_Tratada!$F$5:$F$93,"Downsell",Base_Tratada!$G$5:$G$93,$A45)</f>
        <v>1</v>
      </c>
      <c r="C45" s="7">
        <f>SUMIFS(Base_Tratada!$K$5:$K$93,Base_Tratada!$E$5:$E$93,"2026-02",Base_Tratada!$F$5:$F$93,"Downsell",Base_Tratada!$G$5:$G$93,$A45)</f>
        <v>0</v>
      </c>
      <c r="D45" s="7">
        <f>SUMIFS(Base_Tratada!$K$5:$K$93,Base_Tratada!$E$5:$E$93,"2026-03",Base_Tratada!$F$5:$F$93,"Downsell",Base_Tratada!$G$5:$G$93,$A45)</f>
        <v>0</v>
      </c>
      <c r="E45" s="7">
        <f>SUMIFS(Base_Tratada!$K$5:$K$93,Base_Tratada!$E$5:$E$93,"2026-04",Base_Tratada!$F$5:$F$93,"Downsell",Base_Tratada!$G$5:$G$93,$A45)</f>
        <v>0</v>
      </c>
      <c r="F45" s="7">
        <f>SUMIFS(Base_Tratada!$K$5:$K$93,Base_Tratada!$E$5:$E$93,"2026-05",Base_Tratada!$F$5:$F$93,"Downsell",Base_Tratada!$G$5:$G$93,$A45)</f>
        <v>3</v>
      </c>
      <c r="G45" s="7">
        <f>SUMIFS(Base_Tratada!$K$5:$K$93,Base_Tratada!$E$5:$E$93,"2026-06",Base_Tratada!$F$5:$F$93,"Downsell",Base_Tratada!$G$5:$G$93,$A45)</f>
        <v>0</v>
      </c>
      <c r="H45" s="7">
        <f t="shared" si="4"/>
        <v>4</v>
      </c>
    </row>
    <row r="46" spans="1:8" ht="15" customHeight="1" x14ac:dyDescent="0.35">
      <c r="A46" s="16" t="s">
        <v>87</v>
      </c>
      <c r="B46" s="17">
        <f>SUMIFS(Base_Tratada!$K$5:$K$93,Base_Tratada!$E$5:$E$93,"2026-01",Base_Tratada!$F$5:$F$93,"Downsell",Base_Tratada!$G$5:$G$93,$A46)</f>
        <v>0</v>
      </c>
      <c r="C46" s="17">
        <f>SUMIFS(Base_Tratada!$K$5:$K$93,Base_Tratada!$E$5:$E$93,"2026-02",Base_Tratada!$F$5:$F$93,"Downsell",Base_Tratada!$G$5:$G$93,$A46)</f>
        <v>5</v>
      </c>
      <c r="D46" s="17">
        <f>SUMIFS(Base_Tratada!$K$5:$K$93,Base_Tratada!$E$5:$E$93,"2026-03",Base_Tratada!$F$5:$F$93,"Downsell",Base_Tratada!$G$5:$G$93,$A46)</f>
        <v>0</v>
      </c>
      <c r="E46" s="17">
        <f>SUMIFS(Base_Tratada!$K$5:$K$93,Base_Tratada!$E$5:$E$93,"2026-04",Base_Tratada!$F$5:$F$93,"Downsell",Base_Tratada!$G$5:$G$93,$A46)</f>
        <v>0</v>
      </c>
      <c r="F46" s="17">
        <f>SUMIFS(Base_Tratada!$K$5:$K$93,Base_Tratada!$E$5:$E$93,"2026-05",Base_Tratada!$F$5:$F$93,"Downsell",Base_Tratada!$G$5:$G$93,$A46)</f>
        <v>0</v>
      </c>
      <c r="G46" s="17">
        <f>SUMIFS(Base_Tratada!$K$5:$K$93,Base_Tratada!$E$5:$E$93,"2026-06",Base_Tratada!$F$5:$F$93,"Downsell",Base_Tratada!$G$5:$G$93,$A46)</f>
        <v>0</v>
      </c>
      <c r="H46" s="17">
        <f t="shared" si="4"/>
        <v>5</v>
      </c>
    </row>
    <row r="47" spans="1:8" ht="15" customHeight="1" x14ac:dyDescent="0.35">
      <c r="A47" s="29" t="s">
        <v>231</v>
      </c>
      <c r="B47" s="30">
        <f t="shared" ref="B47:H47" si="5">SUM(B41:B46)</f>
        <v>2</v>
      </c>
      <c r="C47" s="30">
        <f t="shared" si="5"/>
        <v>8</v>
      </c>
      <c r="D47" s="30">
        <f t="shared" si="5"/>
        <v>2</v>
      </c>
      <c r="E47" s="30">
        <f t="shared" si="5"/>
        <v>0</v>
      </c>
      <c r="F47" s="30">
        <f t="shared" si="5"/>
        <v>6</v>
      </c>
      <c r="G47" s="30">
        <f t="shared" si="5"/>
        <v>5</v>
      </c>
      <c r="H47" s="30">
        <f t="shared" si="5"/>
        <v>23</v>
      </c>
    </row>
    <row r="49" spans="1:10" ht="15" customHeight="1" x14ac:dyDescent="0.35">
      <c r="A49" s="38" t="s">
        <v>288</v>
      </c>
      <c r="B49" s="39"/>
      <c r="C49" s="39"/>
      <c r="D49" s="39"/>
      <c r="E49" s="39"/>
      <c r="F49" s="39"/>
      <c r="G49" s="39"/>
      <c r="H49" s="39"/>
      <c r="I49" s="39"/>
      <c r="J49" s="39"/>
    </row>
    <row r="50" spans="1:10" ht="25.5" customHeight="1" x14ac:dyDescent="0.35">
      <c r="A50" s="4" t="s">
        <v>5</v>
      </c>
      <c r="B50" s="4" t="s">
        <v>83</v>
      </c>
      <c r="C50" s="4" t="s">
        <v>41</v>
      </c>
      <c r="D50" s="4" t="s">
        <v>80</v>
      </c>
      <c r="E50" s="4" t="s">
        <v>211</v>
      </c>
      <c r="F50" s="4" t="s">
        <v>35</v>
      </c>
      <c r="G50" s="4" t="s">
        <v>26</v>
      </c>
      <c r="H50" s="4" t="s">
        <v>289</v>
      </c>
      <c r="I50" s="4" t="s">
        <v>290</v>
      </c>
      <c r="J50" s="4" t="s">
        <v>291</v>
      </c>
    </row>
    <row r="51" spans="1:10" ht="15" customHeight="1" x14ac:dyDescent="0.35">
      <c r="A51" s="6" t="s">
        <v>79</v>
      </c>
      <c r="B51" s="50">
        <f>SUMIFS(Base_Tratada!$H$5:$H$93,Base_Tratada!$E$5:$E$93,"2026-01",Base_Tratada!$G$5:$G$93,$A51)</f>
        <v>0</v>
      </c>
      <c r="C51" s="50">
        <f>SUMIFS(Base_Tratada!$H$5:$H$93,Base_Tratada!$E$5:$E$93,"2026-02",Base_Tratada!$G$5:$G$93,$A51)</f>
        <v>0</v>
      </c>
      <c r="D51" s="50">
        <f>SUMIFS(Base_Tratada!$H$5:$H$93,Base_Tratada!$E$5:$E$93,"2026-03",Base_Tratada!$G$5:$G$93,$A51)</f>
        <v>-1926.9898000000001</v>
      </c>
      <c r="E51" s="50">
        <f>SUMIFS(Base_Tratada!$H$5:$H$93,Base_Tratada!$E$5:$E$93,"2026-04",Base_Tratada!$G$5:$G$93,$A51)</f>
        <v>0</v>
      </c>
      <c r="F51" s="50">
        <f>SUMIFS(Base_Tratada!$H$5:$H$93,Base_Tratada!$E$5:$E$93,"2026-05",Base_Tratada!$G$5:$G$93,$A51)</f>
        <v>0</v>
      </c>
      <c r="G51" s="50">
        <f>SUMIFS(Base_Tratada!$H$5:$H$93,Base_Tratada!$E$5:$E$93,"2026-06",Base_Tratada!$G$5:$G$93,$A51)</f>
        <v>0</v>
      </c>
      <c r="H51" s="50">
        <f t="shared" ref="H51:H56" si="6">SUM(B51:G51)</f>
        <v>-1926.9898000000001</v>
      </c>
      <c r="I51" s="50">
        <v>8729.68</v>
      </c>
      <c r="J51" s="51">
        <f t="shared" ref="J51:J56" si="7">IFERROR(-H51/6/I51,0)</f>
        <v>3.6790004520975188E-2</v>
      </c>
    </row>
    <row r="52" spans="1:10" ht="15" customHeight="1" x14ac:dyDescent="0.35">
      <c r="A52" s="16" t="s">
        <v>196</v>
      </c>
      <c r="B52" s="55">
        <f>SUMIFS(Base_Tratada!$H$5:$H$93,Base_Tratada!$E$5:$E$93,"2026-01",Base_Tratada!$G$5:$G$93,$A52)</f>
        <v>0</v>
      </c>
      <c r="C52" s="55">
        <f>SUMIFS(Base_Tratada!$H$5:$H$93,Base_Tratada!$E$5:$E$93,"2026-02",Base_Tratada!$G$5:$G$93,$A52)</f>
        <v>0</v>
      </c>
      <c r="D52" s="55">
        <f>SUMIFS(Base_Tratada!$H$5:$H$93,Base_Tratada!$E$5:$E$93,"2026-03",Base_Tratada!$G$5:$G$93,$A52)</f>
        <v>0</v>
      </c>
      <c r="E52" s="55">
        <f>SUMIFS(Base_Tratada!$H$5:$H$93,Base_Tratada!$E$5:$E$93,"2026-04",Base_Tratada!$G$5:$G$93,$A52)</f>
        <v>-157.28</v>
      </c>
      <c r="F52" s="55">
        <f>SUMIFS(Base_Tratada!$H$5:$H$93,Base_Tratada!$E$5:$E$93,"2026-05",Base_Tratada!$G$5:$G$93,$A52)</f>
        <v>0</v>
      </c>
      <c r="G52" s="55">
        <f>SUMIFS(Base_Tratada!$H$5:$H$93,Base_Tratada!$E$5:$E$93,"2026-06",Base_Tratada!$G$5:$G$93,$A52)</f>
        <v>-558.69000000000005</v>
      </c>
      <c r="H52" s="55">
        <f t="shared" si="6"/>
        <v>-715.97</v>
      </c>
      <c r="I52" s="55">
        <v>3654.65</v>
      </c>
      <c r="J52" s="56">
        <f t="shared" si="7"/>
        <v>3.2651097460313118E-2</v>
      </c>
    </row>
    <row r="53" spans="1:10" ht="15" customHeight="1" x14ac:dyDescent="0.35">
      <c r="A53" s="6" t="s">
        <v>19</v>
      </c>
      <c r="B53" s="50">
        <f>SUMIFS(Base_Tratada!$H$5:$H$93,Base_Tratada!$E$5:$E$93,"2026-01",Base_Tratada!$G$5:$G$93,$A53)</f>
        <v>-1657.47</v>
      </c>
      <c r="C53" s="50">
        <f>SUMIFS(Base_Tratada!$H$5:$H$93,Base_Tratada!$E$5:$E$93,"2026-02",Base_Tratada!$G$5:$G$93,$A53)</f>
        <v>-24097.77</v>
      </c>
      <c r="D53" s="50">
        <f>SUMIFS(Base_Tratada!$H$5:$H$93,Base_Tratada!$E$5:$E$93,"2026-03",Base_Tratada!$G$5:$G$93,$A53)</f>
        <v>-1936.7</v>
      </c>
      <c r="E53" s="50">
        <f>SUMIFS(Base_Tratada!$H$5:$H$93,Base_Tratada!$E$5:$E$93,"2026-04",Base_Tratada!$G$5:$G$93,$A53)</f>
        <v>0</v>
      </c>
      <c r="F53" s="50">
        <f>SUMIFS(Base_Tratada!$H$5:$H$93,Base_Tratada!$E$5:$E$93,"2026-05",Base_Tratada!$G$5:$G$93,$A53)</f>
        <v>-13280.21</v>
      </c>
      <c r="G53" s="50">
        <f>SUMIFS(Base_Tratada!$H$5:$H$93,Base_Tratada!$E$5:$E$93,"2026-06",Base_Tratada!$G$5:$G$93,$A53)</f>
        <v>-25146.310000000005</v>
      </c>
      <c r="H53" s="50">
        <f t="shared" si="6"/>
        <v>-66118.460000000006</v>
      </c>
      <c r="I53" s="50">
        <v>1024373.67</v>
      </c>
      <c r="J53" s="51">
        <f t="shared" si="7"/>
        <v>1.0757542541417853E-2</v>
      </c>
    </row>
    <row r="54" spans="1:10" ht="15" customHeight="1" x14ac:dyDescent="0.35">
      <c r="A54" s="16" t="s">
        <v>59</v>
      </c>
      <c r="B54" s="55">
        <f>SUMIFS(Base_Tratada!$H$5:$H$93,Base_Tratada!$E$5:$E$93,"2026-01",Base_Tratada!$G$5:$G$93,$A54)</f>
        <v>-1875.06</v>
      </c>
      <c r="C54" s="55">
        <f>SUMIFS(Base_Tratada!$H$5:$H$93,Base_Tratada!$E$5:$E$93,"2026-02",Base_Tratada!$G$5:$G$93,$A54)</f>
        <v>0</v>
      </c>
      <c r="D54" s="55">
        <f>SUMIFS(Base_Tratada!$H$5:$H$93,Base_Tratada!$E$5:$E$93,"2026-03",Base_Tratada!$G$5:$G$93,$A54)</f>
        <v>0</v>
      </c>
      <c r="E54" s="55">
        <f>SUMIFS(Base_Tratada!$H$5:$H$93,Base_Tratada!$E$5:$E$93,"2026-04",Base_Tratada!$G$5:$G$93,$A54)</f>
        <v>0</v>
      </c>
      <c r="F54" s="55">
        <f>SUMIFS(Base_Tratada!$H$5:$H$93,Base_Tratada!$E$5:$E$93,"2026-05",Base_Tratada!$G$5:$G$93,$A54)</f>
        <v>-3046.65</v>
      </c>
      <c r="G54" s="55">
        <f>SUMIFS(Base_Tratada!$H$5:$H$93,Base_Tratada!$E$5:$E$93,"2026-06",Base_Tratada!$G$5:$G$93,$A54)</f>
        <v>-1650.3600000000001</v>
      </c>
      <c r="H54" s="55">
        <f t="shared" si="6"/>
        <v>-6572.07</v>
      </c>
      <c r="I54" s="55">
        <v>65030.85</v>
      </c>
      <c r="J54" s="56">
        <f t="shared" si="7"/>
        <v>1.6843467369717605E-2</v>
      </c>
    </row>
    <row r="55" spans="1:10" ht="15" customHeight="1" x14ac:dyDescent="0.35">
      <c r="A55" s="6" t="s">
        <v>34</v>
      </c>
      <c r="B55" s="50">
        <f>SUMIFS(Base_Tratada!$H$5:$H$93,Base_Tratada!$E$5:$E$93,"2026-01",Base_Tratada!$G$5:$G$93,$A55)</f>
        <v>-3280.1616666669997</v>
      </c>
      <c r="C55" s="50">
        <f>SUMIFS(Base_Tratada!$H$5:$H$93,Base_Tratada!$E$5:$E$93,"2026-02",Base_Tratada!$G$5:$G$93,$A55)</f>
        <v>-2995.67</v>
      </c>
      <c r="D55" s="50">
        <f>SUMIFS(Base_Tratada!$H$5:$H$93,Base_Tratada!$E$5:$E$93,"2026-03",Base_Tratada!$G$5:$G$93,$A55)</f>
        <v>-320</v>
      </c>
      <c r="E55" s="50">
        <f>SUMIFS(Base_Tratada!$H$5:$H$93,Base_Tratada!$E$5:$E$93,"2026-04",Base_Tratada!$G$5:$G$93,$A55)</f>
        <v>0</v>
      </c>
      <c r="F55" s="50">
        <f>SUMIFS(Base_Tratada!$H$5:$H$93,Base_Tratada!$E$5:$E$93,"2026-05",Base_Tratada!$G$5:$G$93,$A55)</f>
        <v>-9757.7441666669984</v>
      </c>
      <c r="G55" s="50">
        <f>SUMIFS(Base_Tratada!$H$5:$H$93,Base_Tratada!$E$5:$E$93,"2026-06",Base_Tratada!$G$5:$G$93,$A55)</f>
        <v>-7405.87</v>
      </c>
      <c r="H55" s="50">
        <f t="shared" si="6"/>
        <v>-23759.445833333997</v>
      </c>
      <c r="I55" s="50">
        <v>211773.11</v>
      </c>
      <c r="J55" s="51">
        <f t="shared" si="7"/>
        <v>1.8698821766790882E-2</v>
      </c>
    </row>
    <row r="56" spans="1:10" ht="15" customHeight="1" x14ac:dyDescent="0.35">
      <c r="A56" s="16" t="s">
        <v>87</v>
      </c>
      <c r="B56" s="55">
        <f>SUMIFS(Base_Tratada!$H$5:$H$93,Base_Tratada!$E$5:$E$93,"2026-01",Base_Tratada!$G$5:$G$93,$A56)</f>
        <v>0</v>
      </c>
      <c r="C56" s="55">
        <f>SUMIFS(Base_Tratada!$H$5:$H$93,Base_Tratada!$E$5:$E$93,"2026-02",Base_Tratada!$G$5:$G$93,$A56)</f>
        <v>-9021.67</v>
      </c>
      <c r="D56" s="55">
        <f>SUMIFS(Base_Tratada!$H$5:$H$93,Base_Tratada!$E$5:$E$93,"2026-03",Base_Tratada!$G$5:$G$93,$A56)</f>
        <v>-447.72</v>
      </c>
      <c r="E56" s="55">
        <f>SUMIFS(Base_Tratada!$H$5:$H$93,Base_Tratada!$E$5:$E$93,"2026-04",Base_Tratada!$G$5:$G$93,$A56)</f>
        <v>0</v>
      </c>
      <c r="F56" s="55">
        <f>SUMIFS(Base_Tratada!$H$5:$H$93,Base_Tratada!$E$5:$E$93,"2026-05",Base_Tratada!$G$5:$G$93,$A56)</f>
        <v>0</v>
      </c>
      <c r="G56" s="55">
        <f>SUMIFS(Base_Tratada!$H$5:$H$93,Base_Tratada!$E$5:$E$93,"2026-06",Base_Tratada!$G$5:$G$93,$A56)</f>
        <v>0</v>
      </c>
      <c r="H56" s="55">
        <f t="shared" si="6"/>
        <v>-9469.39</v>
      </c>
      <c r="I56" s="55">
        <v>11943.07</v>
      </c>
      <c r="J56" s="56">
        <f t="shared" si="7"/>
        <v>0.13214622929168687</v>
      </c>
    </row>
    <row r="57" spans="1:10" ht="15" customHeight="1" x14ac:dyDescent="0.35">
      <c r="A57" s="29" t="s">
        <v>231</v>
      </c>
      <c r="B57" s="52">
        <f t="shared" ref="B57:I57" si="8">SUM(B51:B56)</f>
        <v>-6812.6916666669995</v>
      </c>
      <c r="C57" s="52">
        <f t="shared" si="8"/>
        <v>-36115.11</v>
      </c>
      <c r="D57" s="52">
        <f t="shared" si="8"/>
        <v>-4631.4098000000004</v>
      </c>
      <c r="E57" s="52">
        <f t="shared" si="8"/>
        <v>-157.28</v>
      </c>
      <c r="F57" s="52">
        <f t="shared" si="8"/>
        <v>-26084.604166666999</v>
      </c>
      <c r="G57" s="52">
        <f t="shared" si="8"/>
        <v>-34761.230000000003</v>
      </c>
      <c r="H57" s="52">
        <f t="shared" si="8"/>
        <v>-108562.32563333401</v>
      </c>
      <c r="I57" s="52">
        <f t="shared" si="8"/>
        <v>1325505.03</v>
      </c>
      <c r="J57" s="53">
        <f>-H57/6/I57</f>
        <v>1.3650435516558545E-2</v>
      </c>
    </row>
    <row r="58" spans="1:10" ht="15" customHeight="1" x14ac:dyDescent="0.35">
      <c r="I58" s="57" t="s">
        <v>292</v>
      </c>
    </row>
    <row r="60" spans="1:10" ht="15" customHeight="1" x14ac:dyDescent="0.35">
      <c r="A60" s="38" t="s">
        <v>293</v>
      </c>
      <c r="B60" s="39"/>
      <c r="C60" s="39"/>
      <c r="D60" s="39"/>
      <c r="E60" s="39"/>
      <c r="F60" s="39"/>
    </row>
    <row r="61" spans="1:10" ht="15" customHeight="1" x14ac:dyDescent="0.35">
      <c r="A61" s="4" t="s">
        <v>294</v>
      </c>
      <c r="B61" s="4" t="s">
        <v>2</v>
      </c>
      <c r="C61" s="4" t="s">
        <v>5</v>
      </c>
      <c r="D61" s="4" t="s">
        <v>6</v>
      </c>
      <c r="E61" s="4" t="s">
        <v>295</v>
      </c>
      <c r="F61" s="4" t="s">
        <v>296</v>
      </c>
    </row>
    <row r="62" spans="1:10" ht="15" customHeight="1" x14ac:dyDescent="0.35">
      <c r="A62" s="19">
        <v>1</v>
      </c>
      <c r="B62" s="16" t="s">
        <v>17</v>
      </c>
      <c r="C62" s="16" t="s">
        <v>19</v>
      </c>
      <c r="D62" s="18" t="s">
        <v>20</v>
      </c>
      <c r="E62" s="55">
        <f>SUMIFS(Base_Tratada!$H$5:$H$93,Base_Tratada!$A$5:$A$93,$B62,Base_Tratada!$G$5:$G$93,$C62)*-1</f>
        <v>16573.140000000003</v>
      </c>
      <c r="F62" s="56">
        <f>SUM($E$62:$E62)/SUM(Consolidado!$I$5:$I$66)</f>
        <v>0.15266014156674651</v>
      </c>
    </row>
    <row r="63" spans="1:10" ht="15" customHeight="1" x14ac:dyDescent="0.35">
      <c r="A63" s="9">
        <v>2</v>
      </c>
      <c r="B63" s="6" t="s">
        <v>24</v>
      </c>
      <c r="C63" s="6" t="s">
        <v>19</v>
      </c>
      <c r="D63" s="8" t="s">
        <v>20</v>
      </c>
      <c r="E63" s="50">
        <f>SUMIFS(Base_Tratada!$H$5:$H$93,Base_Tratada!$A$5:$A$93,$B63,Base_Tratada!$G$5:$G$93,$C63)*-1</f>
        <v>13701.65</v>
      </c>
      <c r="F63" s="51">
        <f>SUM($E$62:$E63)/SUM(Consolidado!$I$5:$I$66)</f>
        <v>0.27887013126682819</v>
      </c>
    </row>
    <row r="64" spans="1:10" ht="15" customHeight="1" x14ac:dyDescent="0.35">
      <c r="A64" s="19">
        <v>3</v>
      </c>
      <c r="B64" s="16" t="s">
        <v>29</v>
      </c>
      <c r="C64" s="16" t="s">
        <v>19</v>
      </c>
      <c r="D64" s="18" t="s">
        <v>20</v>
      </c>
      <c r="E64" s="55">
        <f>SUMIFS(Base_Tratada!$H$5:$H$93,Base_Tratada!$A$5:$A$93,$B64,Base_Tratada!$G$5:$G$93,$C64)*-1</f>
        <v>6532.9800000000005</v>
      </c>
      <c r="F64" s="56">
        <f>SUM($E$62:$E64)/SUM(Consolidado!$I$5:$I$66)</f>
        <v>0.33904736090784515</v>
      </c>
    </row>
    <row r="65" spans="1:9" ht="15" customHeight="1" x14ac:dyDescent="0.35">
      <c r="A65" s="9">
        <v>4</v>
      </c>
      <c r="B65" s="6" t="s">
        <v>32</v>
      </c>
      <c r="C65" s="6" t="s">
        <v>34</v>
      </c>
      <c r="D65" s="8" t="s">
        <v>20</v>
      </c>
      <c r="E65" s="50">
        <f>SUMIFS(Base_Tratada!$H$5:$H$93,Base_Tratada!$A$5:$A$93,$B65,Base_Tratada!$G$5:$G$93,$C65)*-1</f>
        <v>4195.79</v>
      </c>
      <c r="F65" s="51">
        <f>SUM($E$62:$E65)/SUM(Consolidado!$I$5:$I$66)</f>
        <v>0.37769603553343445</v>
      </c>
    </row>
    <row r="66" spans="1:9" ht="15" customHeight="1" x14ac:dyDescent="0.35">
      <c r="A66" s="19">
        <v>5</v>
      </c>
      <c r="B66" s="16" t="s">
        <v>38</v>
      </c>
      <c r="C66" s="16" t="s">
        <v>19</v>
      </c>
      <c r="D66" s="24" t="s">
        <v>40</v>
      </c>
      <c r="E66" s="55">
        <f>SUMIFS(Base_Tratada!$H$5:$H$93,Base_Tratada!$A$5:$A$93,$B66,Base_Tratada!$G$5:$G$93,$C66)*-1</f>
        <v>4170.46</v>
      </c>
      <c r="F66" s="56">
        <f>SUM($E$62:$E66)/SUM(Consolidado!$I$5:$I$66)</f>
        <v>0.41611138796504687</v>
      </c>
    </row>
    <row r="67" spans="1:9" ht="15" customHeight="1" x14ac:dyDescent="0.35">
      <c r="A67" s="9">
        <v>6</v>
      </c>
      <c r="B67" s="6" t="s">
        <v>44</v>
      </c>
      <c r="C67" s="6" t="s">
        <v>19</v>
      </c>
      <c r="D67" s="23" t="s">
        <v>40</v>
      </c>
      <c r="E67" s="50">
        <f>SUMIFS(Base_Tratada!$H$5:$H$93,Base_Tratada!$A$5:$A$93,$B67,Base_Tratada!$G$5:$G$93,$C67)*-1</f>
        <v>4010.6899999999996</v>
      </c>
      <c r="F67" s="51">
        <f>SUM($E$62:$E67)/SUM(Consolidado!$I$5:$I$66)</f>
        <v>0.45305505121656925</v>
      </c>
    </row>
    <row r="68" spans="1:9" ht="15" customHeight="1" x14ac:dyDescent="0.35">
      <c r="A68" s="19">
        <v>7</v>
      </c>
      <c r="B68" s="16" t="s">
        <v>48</v>
      </c>
      <c r="C68" s="16" t="s">
        <v>19</v>
      </c>
      <c r="D68" s="24" t="s">
        <v>40</v>
      </c>
      <c r="E68" s="55">
        <f>SUMIFS(Base_Tratada!$H$5:$H$93,Base_Tratada!$A$5:$A$93,$B68,Base_Tratada!$G$5:$G$93,$C68)*-1</f>
        <v>3408.3999999999996</v>
      </c>
      <c r="F68" s="56">
        <f>SUM($E$62:$E68)/SUM(Consolidado!$I$5:$I$66)</f>
        <v>0.48445084142386241</v>
      </c>
    </row>
    <row r="69" spans="1:9" ht="15" customHeight="1" x14ac:dyDescent="0.35">
      <c r="A69" s="9">
        <v>8</v>
      </c>
      <c r="B69" s="6" t="s">
        <v>52</v>
      </c>
      <c r="C69" s="6" t="s">
        <v>19</v>
      </c>
      <c r="D69" s="23" t="s">
        <v>40</v>
      </c>
      <c r="E69" s="50">
        <f>SUMIFS(Base_Tratada!$H$5:$H$93,Base_Tratada!$A$5:$A$93,$B69,Base_Tratada!$G$5:$G$93,$C69)*-1</f>
        <v>3117.15</v>
      </c>
      <c r="F69" s="51">
        <f>SUM($E$62:$E69)/SUM(Consolidado!$I$5:$I$66)</f>
        <v>0.51316384090885947</v>
      </c>
    </row>
    <row r="70" spans="1:9" ht="15" customHeight="1" x14ac:dyDescent="0.35">
      <c r="A70" s="19">
        <v>9</v>
      </c>
      <c r="B70" s="16" t="s">
        <v>57</v>
      </c>
      <c r="C70" s="16" t="s">
        <v>59</v>
      </c>
      <c r="D70" s="24" t="s">
        <v>40</v>
      </c>
      <c r="E70" s="55">
        <f>SUMIFS(Base_Tratada!$H$5:$H$93,Base_Tratada!$A$5:$A$93,$B70,Base_Tratada!$G$5:$G$93,$C70)*-1</f>
        <v>3046.65</v>
      </c>
      <c r="F70" s="56">
        <f>SUM($E$62:$E70)/SUM(Consolidado!$I$5:$I$66)</f>
        <v>0.54122744384133503</v>
      </c>
    </row>
    <row r="71" spans="1:9" ht="15" customHeight="1" x14ac:dyDescent="0.35">
      <c r="A71" s="9">
        <v>10</v>
      </c>
      <c r="B71" s="6" t="s">
        <v>61</v>
      </c>
      <c r="C71" s="6" t="s">
        <v>34</v>
      </c>
      <c r="D71" s="23" t="s">
        <v>40</v>
      </c>
      <c r="E71" s="50">
        <f>SUMIFS(Base_Tratada!$H$5:$H$93,Base_Tratada!$A$5:$A$93,$B71,Base_Tratada!$G$5:$G$93,$C71)*-1</f>
        <v>2775.55</v>
      </c>
      <c r="F71" s="51">
        <f>SUM($E$62:$E71)/SUM(Consolidado!$I$5:$I$66)</f>
        <v>0.56679386371865359</v>
      </c>
    </row>
    <row r="72" spans="1:9" ht="15" customHeight="1" x14ac:dyDescent="0.35">
      <c r="A72" s="19">
        <v>11</v>
      </c>
      <c r="B72" s="16" t="s">
        <v>65</v>
      </c>
      <c r="C72" s="16" t="s">
        <v>19</v>
      </c>
      <c r="D72" s="24" t="s">
        <v>40</v>
      </c>
      <c r="E72" s="55">
        <f>SUMIFS(Base_Tratada!$H$5:$H$93,Base_Tratada!$A$5:$A$93,$B72,Base_Tratada!$G$5:$G$93,$C72)*-1</f>
        <v>2243.46</v>
      </c>
      <c r="F72" s="56">
        <f>SUM($E$62:$E72)/SUM(Consolidado!$I$5:$I$66)</f>
        <v>0.58745904371467927</v>
      </c>
    </row>
    <row r="73" spans="1:9" ht="15" customHeight="1" x14ac:dyDescent="0.35">
      <c r="A73" s="9">
        <v>12</v>
      </c>
      <c r="B73" s="6" t="s">
        <v>70</v>
      </c>
      <c r="C73" s="6" t="s">
        <v>19</v>
      </c>
      <c r="D73" s="23" t="s">
        <v>40</v>
      </c>
      <c r="E73" s="50">
        <f>SUMIFS(Base_Tratada!$H$5:$H$93,Base_Tratada!$A$5:$A$93,$B73,Base_Tratada!$G$5:$G$93,$C73)*-1</f>
        <v>2150.61</v>
      </c>
      <c r="F73" s="51">
        <f>SUM($E$62:$E73)/SUM(Consolidado!$I$5:$I$66)</f>
        <v>0.60726895463408626</v>
      </c>
    </row>
    <row r="74" spans="1:9" ht="15" customHeight="1" x14ac:dyDescent="0.35">
      <c r="A74" s="19">
        <v>13</v>
      </c>
      <c r="B74" s="16" t="s">
        <v>74</v>
      </c>
      <c r="C74" s="16" t="s">
        <v>19</v>
      </c>
      <c r="D74" s="24" t="s">
        <v>40</v>
      </c>
      <c r="E74" s="55">
        <f>SUMIFS(Base_Tratada!$H$5:$H$93,Base_Tratada!$A$5:$A$93,$B74,Base_Tratada!$G$5:$G$93,$C74)*-1</f>
        <v>2110.81</v>
      </c>
      <c r="F74" s="56">
        <f>SUM($E$62:$E74)/SUM(Consolidado!$I$5:$I$66)</f>
        <v>0.62671225586852364</v>
      </c>
    </row>
    <row r="75" spans="1:9" ht="15" customHeight="1" x14ac:dyDescent="0.35">
      <c r="A75" s="9">
        <v>14</v>
      </c>
      <c r="B75" s="6" t="s">
        <v>24</v>
      </c>
      <c r="C75" s="6" t="s">
        <v>79</v>
      </c>
      <c r="D75" s="23" t="s">
        <v>40</v>
      </c>
      <c r="E75" s="50">
        <f>SUMIFS(Base_Tratada!$H$5:$H$93,Base_Tratada!$A$5:$A$93,$B75,Base_Tratada!$G$5:$G$93,$C75)*-1</f>
        <v>1926.9898000000001</v>
      </c>
      <c r="F75" s="51">
        <f>SUM($E$62:$E75)/SUM(Consolidado!$I$5:$I$66)</f>
        <v>0.64446233434886446</v>
      </c>
    </row>
    <row r="76" spans="1:9" ht="15" customHeight="1" x14ac:dyDescent="0.35">
      <c r="A76" s="19">
        <v>15</v>
      </c>
      <c r="B76" s="16" t="s">
        <v>81</v>
      </c>
      <c r="C76" s="16" t="s">
        <v>59</v>
      </c>
      <c r="D76" s="24" t="s">
        <v>40</v>
      </c>
      <c r="E76" s="55">
        <f>SUMIFS(Base_Tratada!$H$5:$H$93,Base_Tratada!$A$5:$A$93,$B76,Base_Tratada!$G$5:$G$93,$C76)*-1</f>
        <v>1875.06</v>
      </c>
      <c r="F76" s="56">
        <f>SUM($E$62:$E76)/SUM(Consolidado!$I$5:$I$66)</f>
        <v>0.66173407193426736</v>
      </c>
    </row>
    <row r="79" spans="1:9" ht="15" customHeight="1" x14ac:dyDescent="0.35">
      <c r="A79" s="38" t="s">
        <v>297</v>
      </c>
      <c r="B79" s="39"/>
      <c r="C79" s="39"/>
      <c r="D79" s="39"/>
      <c r="E79" s="39"/>
      <c r="F79" s="39"/>
      <c r="G79" s="39"/>
      <c r="H79" s="39"/>
      <c r="I79" s="39"/>
    </row>
    <row r="80" spans="1:9" ht="15" customHeight="1" x14ac:dyDescent="0.35">
      <c r="A80" s="4" t="s">
        <v>276</v>
      </c>
      <c r="B80" s="4" t="s">
        <v>298</v>
      </c>
      <c r="C80" s="4" t="s">
        <v>299</v>
      </c>
      <c r="D80" s="4" t="s">
        <v>300</v>
      </c>
      <c r="E80" s="4" t="s">
        <v>301</v>
      </c>
      <c r="F80" s="4" t="s">
        <v>20</v>
      </c>
      <c r="G80" s="4" t="s">
        <v>40</v>
      </c>
      <c r="H80" s="4" t="s">
        <v>302</v>
      </c>
      <c r="I80" s="4" t="s">
        <v>303</v>
      </c>
    </row>
    <row r="81" spans="1:9" ht="15" customHeight="1" x14ac:dyDescent="0.35">
      <c r="A81" s="9" t="s">
        <v>83</v>
      </c>
      <c r="B81" s="50">
        <f>Dados_Origem!$B$5</f>
        <v>4815.29</v>
      </c>
      <c r="C81" s="50">
        <f>Dados_Origem!$C$5</f>
        <v>3301.64</v>
      </c>
      <c r="D81" s="50">
        <f>Dados_Origem!$D$5</f>
        <v>225.32499999999899</v>
      </c>
      <c r="E81" s="50">
        <f>Dados_Origem!$E$5</f>
        <v>-4985.29</v>
      </c>
      <c r="F81" s="50">
        <f>Dados_Origem!$G$5</f>
        <v>-1693.5216666670001</v>
      </c>
      <c r="G81" s="50">
        <f>Dados_Origem!$H$5</f>
        <v>-5119.17</v>
      </c>
      <c r="H81" s="50">
        <f t="shared" ref="H81:H86" si="9">SUM(B81:G81)</f>
        <v>-3455.7266666670012</v>
      </c>
      <c r="I81" s="50">
        <f>Dados_Origem!$I$5</f>
        <v>1325910.4623666699</v>
      </c>
    </row>
    <row r="82" spans="1:9" ht="15" customHeight="1" x14ac:dyDescent="0.35">
      <c r="A82" s="19" t="s">
        <v>41</v>
      </c>
      <c r="B82" s="55">
        <f>Dados_Origem!$B$6</f>
        <v>13662.66</v>
      </c>
      <c r="C82" s="55">
        <f>Dados_Origem!$C$6</f>
        <v>10796.99</v>
      </c>
      <c r="D82" s="55">
        <f>Dados_Origem!$D$6</f>
        <v>1889.36916666667</v>
      </c>
      <c r="E82" s="55">
        <f>Dados_Origem!$E$6</f>
        <v>0</v>
      </c>
      <c r="F82" s="55">
        <f>Dados_Origem!$G$6</f>
        <v>-22881.82</v>
      </c>
      <c r="G82" s="55">
        <f>Dados_Origem!$H$6</f>
        <v>-13233.29</v>
      </c>
      <c r="H82" s="55">
        <f t="shared" si="9"/>
        <v>-9766.0908333333282</v>
      </c>
      <c r="I82" s="55">
        <f>Dados_Origem!$I$6</f>
        <v>1320291.60060001</v>
      </c>
    </row>
    <row r="83" spans="1:9" ht="15" customHeight="1" x14ac:dyDescent="0.35">
      <c r="A83" s="9" t="s">
        <v>80</v>
      </c>
      <c r="B83" s="50">
        <f>Dados_Origem!$B$7</f>
        <v>14361.57</v>
      </c>
      <c r="C83" s="50">
        <f>Dados_Origem!$C$7</f>
        <v>7665.44</v>
      </c>
      <c r="D83" s="50">
        <f>Dados_Origem!$D$7</f>
        <v>813.30249999933505</v>
      </c>
      <c r="E83" s="50">
        <f>Dados_Origem!$E$7</f>
        <v>-818.96</v>
      </c>
      <c r="F83" s="50">
        <f>Dados_Origem!$G$7</f>
        <v>-561.54</v>
      </c>
      <c r="G83" s="50">
        <f>Dados_Origem!$H$7</f>
        <v>-4069.8697999999999</v>
      </c>
      <c r="H83" s="50">
        <f t="shared" si="9"/>
        <v>17389.942699999334</v>
      </c>
      <c r="I83" s="50">
        <f>Dados_Origem!$I$7</f>
        <v>1337681.5416333401</v>
      </c>
    </row>
    <row r="84" spans="1:9" ht="15" customHeight="1" x14ac:dyDescent="0.35">
      <c r="A84" s="19" t="s">
        <v>211</v>
      </c>
      <c r="B84" s="55">
        <f>Dados_Origem!$B$8</f>
        <v>2279.96</v>
      </c>
      <c r="C84" s="55">
        <f>Dados_Origem!$C$8</f>
        <v>837.9</v>
      </c>
      <c r="D84" s="55">
        <f>Dados_Origem!$D$8</f>
        <v>-339.75833334566698</v>
      </c>
      <c r="E84" s="55">
        <f>Dados_Origem!$E$8</f>
        <v>56.41</v>
      </c>
      <c r="F84" s="55">
        <f>Dados_Origem!$G$8</f>
        <v>0</v>
      </c>
      <c r="G84" s="55">
        <f>Dados_Origem!$H$8</f>
        <v>-157.28</v>
      </c>
      <c r="H84" s="55">
        <f t="shared" si="9"/>
        <v>2677.2316666543329</v>
      </c>
      <c r="I84" s="55">
        <f>Dados_Origem!$I$8</f>
        <v>1340358.7933</v>
      </c>
    </row>
    <row r="85" spans="1:9" ht="15" customHeight="1" x14ac:dyDescent="0.35">
      <c r="A85" s="9" t="s">
        <v>35</v>
      </c>
      <c r="B85" s="50">
        <f>Dados_Origem!$B$9</f>
        <v>6849.4</v>
      </c>
      <c r="C85" s="50">
        <f>Dados_Origem!$C$9</f>
        <v>504.4</v>
      </c>
      <c r="D85" s="50">
        <f>Dados_Origem!$D$9</f>
        <v>6940.9251999993303</v>
      </c>
      <c r="E85" s="50">
        <f>Dados_Origem!$E$9</f>
        <v>391.44</v>
      </c>
      <c r="F85" s="50">
        <f>Dados_Origem!$G$9</f>
        <v>-12235.12</v>
      </c>
      <c r="G85" s="50">
        <f>Dados_Origem!$H$9</f>
        <v>-13849.484166667</v>
      </c>
      <c r="H85" s="50">
        <f t="shared" si="9"/>
        <v>-11398.438966667671</v>
      </c>
      <c r="I85" s="50">
        <f>Dados_Origem!$I$9</f>
        <v>1328960.3543333299</v>
      </c>
    </row>
    <row r="86" spans="1:9" ht="15" customHeight="1" x14ac:dyDescent="0.35">
      <c r="A86" s="19" t="s">
        <v>26</v>
      </c>
      <c r="B86" s="55">
        <f>Dados_Origem!$B$10</f>
        <v>2931.66</v>
      </c>
      <c r="C86" s="55">
        <f>Dados_Origem!$C$10</f>
        <v>3088.12</v>
      </c>
      <c r="D86" s="55">
        <f>Dados_Origem!$D$10</f>
        <v>0</v>
      </c>
      <c r="E86" s="55">
        <f>Dados_Origem!$E$10</f>
        <v>-391.44</v>
      </c>
      <c r="F86" s="55">
        <f>Dados_Origem!$G$10</f>
        <v>-16259.92</v>
      </c>
      <c r="G86" s="55">
        <f>Dados_Origem!$H$10</f>
        <v>-18501.310000000001</v>
      </c>
      <c r="H86" s="55">
        <f t="shared" si="9"/>
        <v>-29132.89</v>
      </c>
      <c r="I86" s="55">
        <f>Dados_Origem!$I$10</f>
        <v>1299827.46433333</v>
      </c>
    </row>
    <row r="87" spans="1:9" ht="15" customHeight="1" x14ac:dyDescent="0.35">
      <c r="A87" s="31" t="s">
        <v>304</v>
      </c>
      <c r="B87" s="52">
        <f t="shared" ref="B87:H87" si="10">SUM(B81:B86)</f>
        <v>44900.540000000008</v>
      </c>
      <c r="C87" s="52">
        <f t="shared" si="10"/>
        <v>26194.49</v>
      </c>
      <c r="D87" s="52">
        <f t="shared" si="10"/>
        <v>9529.1635333196682</v>
      </c>
      <c r="E87" s="52">
        <f t="shared" si="10"/>
        <v>-5747.84</v>
      </c>
      <c r="F87" s="52">
        <f t="shared" si="10"/>
        <v>-53631.921666666996</v>
      </c>
      <c r="G87" s="52">
        <f t="shared" si="10"/>
        <v>-54930.403966667</v>
      </c>
      <c r="H87" s="52">
        <f t="shared" si="10"/>
        <v>-33685.972100014333</v>
      </c>
      <c r="I87" s="52">
        <f>Dados_Origem!$I$10</f>
        <v>1299827.46433333</v>
      </c>
    </row>
    <row r="88" spans="1:9" ht="15" customHeight="1" x14ac:dyDescent="0.35">
      <c r="A88" s="57" t="s">
        <v>305</v>
      </c>
    </row>
    <row r="90" spans="1:9" ht="15" customHeight="1" x14ac:dyDescent="0.35">
      <c r="A90" s="38" t="s">
        <v>306</v>
      </c>
      <c r="B90" s="39"/>
      <c r="C90" s="39"/>
      <c r="D90" s="39"/>
      <c r="E90" s="39"/>
      <c r="F90" s="39"/>
    </row>
    <row r="91" spans="1:9" ht="15" customHeight="1" x14ac:dyDescent="0.35">
      <c r="A91" s="85" t="s">
        <v>307</v>
      </c>
      <c r="B91" s="85"/>
      <c r="C91" s="85"/>
      <c r="D91" s="85"/>
      <c r="E91" s="85"/>
      <c r="F91" s="85"/>
    </row>
    <row r="92" spans="1:9" ht="27.75" customHeight="1" x14ac:dyDescent="0.35">
      <c r="A92" s="82" t="s">
        <v>308</v>
      </c>
      <c r="B92" s="82"/>
      <c r="C92" s="82"/>
      <c r="D92" s="82"/>
      <c r="E92" s="82"/>
      <c r="F92" s="82"/>
    </row>
    <row r="94" spans="1:9" ht="15" customHeight="1" x14ac:dyDescent="0.35">
      <c r="A94" s="85" t="s">
        <v>309</v>
      </c>
      <c r="B94" s="85"/>
      <c r="C94" s="85"/>
      <c r="D94" s="85"/>
      <c r="E94" s="85"/>
      <c r="F94" s="85"/>
    </row>
    <row r="95" spans="1:9" ht="29.25" customHeight="1" x14ac:dyDescent="0.35">
      <c r="A95" s="82" t="s">
        <v>310</v>
      </c>
      <c r="B95" s="82"/>
      <c r="C95" s="82"/>
      <c r="D95" s="82"/>
      <c r="E95" s="82"/>
      <c r="F95" s="82"/>
    </row>
    <row r="97" spans="1:6" ht="15" customHeight="1" x14ac:dyDescent="0.35">
      <c r="A97" s="85" t="s">
        <v>311</v>
      </c>
      <c r="B97" s="85"/>
      <c r="C97" s="85"/>
      <c r="D97" s="85"/>
      <c r="E97" s="85"/>
      <c r="F97" s="85"/>
    </row>
    <row r="98" spans="1:6" ht="33.75" customHeight="1" x14ac:dyDescent="0.35">
      <c r="A98" s="82" t="s">
        <v>312</v>
      </c>
      <c r="B98" s="82"/>
      <c r="C98" s="82"/>
      <c r="D98" s="82"/>
      <c r="E98" s="82"/>
      <c r="F98" s="82"/>
    </row>
    <row r="100" spans="1:6" ht="15" customHeight="1" x14ac:dyDescent="0.35">
      <c r="A100" s="86" t="s">
        <v>313</v>
      </c>
      <c r="B100" s="86"/>
      <c r="C100" s="86"/>
      <c r="D100" s="86"/>
      <c r="E100" s="86"/>
      <c r="F100" s="86"/>
    </row>
    <row r="101" spans="1:6" ht="47.25" customHeight="1" x14ac:dyDescent="0.35">
      <c r="A101" s="82" t="s">
        <v>314</v>
      </c>
      <c r="B101" s="82"/>
      <c r="C101" s="82"/>
      <c r="D101" s="82"/>
      <c r="E101" s="82"/>
      <c r="F101" s="82"/>
    </row>
    <row r="103" spans="1:6" ht="15" customHeight="1" x14ac:dyDescent="0.35">
      <c r="A103" s="86" t="s">
        <v>315</v>
      </c>
      <c r="B103" s="86"/>
      <c r="C103" s="86"/>
      <c r="D103" s="86"/>
      <c r="E103" s="86"/>
      <c r="F103" s="86"/>
    </row>
    <row r="104" spans="1:6" ht="38.25" customHeight="1" x14ac:dyDescent="0.35">
      <c r="A104" s="82" t="s">
        <v>316</v>
      </c>
      <c r="B104" s="82"/>
      <c r="C104" s="82"/>
      <c r="D104" s="82"/>
      <c r="E104" s="82"/>
      <c r="F104" s="82"/>
    </row>
    <row r="106" spans="1:6" ht="15" customHeight="1" x14ac:dyDescent="0.35">
      <c r="A106" s="86" t="s">
        <v>317</v>
      </c>
      <c r="B106" s="86"/>
      <c r="C106" s="86"/>
      <c r="D106" s="86"/>
      <c r="E106" s="86"/>
      <c r="F106" s="86"/>
    </row>
    <row r="107" spans="1:6" ht="40.5" customHeight="1" x14ac:dyDescent="0.35">
      <c r="A107" s="82" t="s">
        <v>318</v>
      </c>
      <c r="B107" s="82"/>
      <c r="C107" s="82"/>
      <c r="D107" s="82"/>
      <c r="E107" s="82"/>
      <c r="F107" s="82"/>
    </row>
    <row r="109" spans="1:6" ht="15" customHeight="1" x14ac:dyDescent="0.35">
      <c r="A109" s="86" t="s">
        <v>319</v>
      </c>
      <c r="B109" s="86"/>
      <c r="C109" s="86"/>
      <c r="D109" s="86"/>
      <c r="E109" s="86"/>
      <c r="F109" s="86"/>
    </row>
    <row r="110" spans="1:6" ht="21.75" customHeight="1" x14ac:dyDescent="0.35">
      <c r="A110" s="82" t="s">
        <v>320</v>
      </c>
      <c r="B110" s="82"/>
      <c r="C110" s="82"/>
      <c r="D110" s="82"/>
      <c r="E110" s="82"/>
      <c r="F110" s="82"/>
    </row>
    <row r="112" spans="1:6" ht="15" customHeight="1" x14ac:dyDescent="0.35">
      <c r="A112" s="87" t="s">
        <v>321</v>
      </c>
      <c r="B112" s="87"/>
      <c r="C112" s="87"/>
      <c r="D112" s="87"/>
      <c r="E112" s="87"/>
      <c r="F112" s="87"/>
    </row>
    <row r="113" spans="1:6" ht="33" customHeight="1" x14ac:dyDescent="0.35">
      <c r="A113" s="82" t="s">
        <v>322</v>
      </c>
      <c r="B113" s="82"/>
      <c r="C113" s="82"/>
      <c r="D113" s="82"/>
      <c r="E113" s="82"/>
      <c r="F113" s="82"/>
    </row>
    <row r="115" spans="1:6" ht="15" customHeight="1" x14ac:dyDescent="0.35">
      <c r="A115" s="87" t="s">
        <v>323</v>
      </c>
      <c r="B115" s="87"/>
      <c r="C115" s="87"/>
      <c r="D115" s="87"/>
      <c r="E115" s="87"/>
      <c r="F115" s="87"/>
    </row>
    <row r="116" spans="1:6" ht="28.5" customHeight="1" x14ac:dyDescent="0.35">
      <c r="A116" s="82" t="s">
        <v>324</v>
      </c>
      <c r="B116" s="82"/>
      <c r="C116" s="82"/>
      <c r="D116" s="82"/>
      <c r="E116" s="82"/>
      <c r="F116" s="82"/>
    </row>
    <row r="118" spans="1:6" ht="15" customHeight="1" x14ac:dyDescent="0.35">
      <c r="A118" s="38" t="s">
        <v>325</v>
      </c>
      <c r="B118" s="39"/>
      <c r="C118" s="39"/>
      <c r="D118" s="39"/>
      <c r="E118" s="39"/>
      <c r="F118" s="39"/>
    </row>
    <row r="119" spans="1:6" ht="48" customHeight="1" x14ac:dyDescent="0.35">
      <c r="A119" s="82" t="s">
        <v>326</v>
      </c>
      <c r="B119" s="82"/>
      <c r="C119" s="82"/>
      <c r="D119" s="82"/>
      <c r="E119" s="82"/>
      <c r="F119" s="82"/>
    </row>
    <row r="120" spans="1:6" ht="43.5" customHeight="1" x14ac:dyDescent="0.35">
      <c r="A120" s="82" t="s">
        <v>327</v>
      </c>
      <c r="B120" s="82"/>
      <c r="C120" s="82"/>
      <c r="D120" s="82"/>
      <c r="E120" s="82"/>
      <c r="F120" s="82"/>
    </row>
    <row r="121" spans="1:6" ht="31.5" customHeight="1" x14ac:dyDescent="0.35">
      <c r="A121" s="82" t="s">
        <v>328</v>
      </c>
      <c r="B121" s="82"/>
      <c r="C121" s="82"/>
      <c r="D121" s="82"/>
      <c r="E121" s="82"/>
      <c r="F121" s="82"/>
    </row>
    <row r="122" spans="1:6" ht="42.75" customHeight="1" x14ac:dyDescent="0.35">
      <c r="A122" s="82" t="s">
        <v>329</v>
      </c>
      <c r="B122" s="82"/>
      <c r="C122" s="82"/>
      <c r="D122" s="82"/>
      <c r="E122" s="82"/>
      <c r="F122" s="82"/>
    </row>
    <row r="123" spans="1:6" ht="31.5" customHeight="1" x14ac:dyDescent="0.35">
      <c r="A123" s="82" t="s">
        <v>330</v>
      </c>
      <c r="B123" s="82"/>
      <c r="C123" s="82"/>
      <c r="D123" s="82"/>
      <c r="E123" s="82"/>
      <c r="F123" s="82"/>
    </row>
    <row r="124" spans="1:6" ht="42.75" customHeight="1" x14ac:dyDescent="0.35">
      <c r="A124" s="82" t="s">
        <v>331</v>
      </c>
      <c r="B124" s="82"/>
      <c r="C124" s="82"/>
      <c r="D124" s="82"/>
      <c r="E124" s="82"/>
      <c r="F124" s="82"/>
    </row>
    <row r="125" spans="1:6" ht="36.75" customHeight="1" x14ac:dyDescent="0.35">
      <c r="A125" s="82" t="s">
        <v>332</v>
      </c>
      <c r="B125" s="82"/>
      <c r="C125" s="82"/>
      <c r="D125" s="82"/>
      <c r="E125" s="82"/>
      <c r="F125" s="82"/>
    </row>
  </sheetData>
  <mergeCells count="25">
    <mergeCell ref="A121:F121"/>
    <mergeCell ref="A122:F122"/>
    <mergeCell ref="A123:F123"/>
    <mergeCell ref="A124:F124"/>
    <mergeCell ref="A125:F125"/>
    <mergeCell ref="A113:F113"/>
    <mergeCell ref="A115:F115"/>
    <mergeCell ref="A116:F116"/>
    <mergeCell ref="A119:F119"/>
    <mergeCell ref="A120:F120"/>
    <mergeCell ref="A106:F106"/>
    <mergeCell ref="A107:F107"/>
    <mergeCell ref="A109:F109"/>
    <mergeCell ref="A110:F110"/>
    <mergeCell ref="A112:F112"/>
    <mergeCell ref="A98:F98"/>
    <mergeCell ref="A100:F100"/>
    <mergeCell ref="A101:F101"/>
    <mergeCell ref="A103:F103"/>
    <mergeCell ref="A104:F104"/>
    <mergeCell ref="A91:F91"/>
    <mergeCell ref="A92:F92"/>
    <mergeCell ref="A94:F94"/>
    <mergeCell ref="A95:F95"/>
    <mergeCell ref="A97:F9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3"/>
  <sheetViews>
    <sheetView zoomScaleNormal="100" workbookViewId="0">
      <pane ySplit="4" topLeftCell="A10" activePane="bottomLeft" state="frozen"/>
      <selection pane="bottomLeft" activeCell="C19" sqref="C19"/>
    </sheetView>
  </sheetViews>
  <sheetFormatPr defaultColWidth="8.7265625" defaultRowHeight="14.5" x14ac:dyDescent="0.35"/>
  <cols>
    <col min="1" max="1" width="52" customWidth="1"/>
    <col min="2" max="2" width="13" customWidth="1"/>
    <col min="3" max="3" width="12" customWidth="1"/>
    <col min="4" max="4" width="13" customWidth="1"/>
    <col min="5" max="5" width="10" customWidth="1"/>
    <col min="6" max="6" width="12" customWidth="1"/>
    <col min="7" max="7" width="23" customWidth="1"/>
    <col min="8" max="8" width="15" customWidth="1"/>
    <col min="9" max="9" width="17" customWidth="1"/>
    <col min="10" max="10" width="30" customWidth="1"/>
    <col min="11" max="11" width="12" customWidth="1"/>
  </cols>
  <sheetData>
    <row r="1" spans="1:11" ht="18" customHeight="1" x14ac:dyDescent="0.4">
      <c r="A1" s="2" t="s">
        <v>333</v>
      </c>
    </row>
    <row r="2" spans="1:11" ht="15" customHeight="1" x14ac:dyDescent="0.35">
      <c r="A2" s="3" t="s">
        <v>334</v>
      </c>
    </row>
    <row r="4" spans="1:11" ht="30" customHeight="1" x14ac:dyDescent="0.35">
      <c r="A4" s="4" t="s">
        <v>2</v>
      </c>
      <c r="B4" s="4" t="s">
        <v>3</v>
      </c>
      <c r="C4" s="4" t="s">
        <v>335</v>
      </c>
      <c r="D4" s="4" t="s">
        <v>336</v>
      </c>
      <c r="E4" s="4" t="s">
        <v>337</v>
      </c>
      <c r="F4" s="4" t="s">
        <v>6</v>
      </c>
      <c r="G4" s="4" t="s">
        <v>5</v>
      </c>
      <c r="H4" s="4" t="s">
        <v>338</v>
      </c>
      <c r="I4" s="4" t="s">
        <v>339</v>
      </c>
      <c r="J4" s="4" t="s">
        <v>340</v>
      </c>
      <c r="K4" s="4" t="s">
        <v>341</v>
      </c>
    </row>
    <row r="5" spans="1:11" ht="15" customHeight="1" x14ac:dyDescent="0.35">
      <c r="A5" s="58" t="s">
        <v>38</v>
      </c>
      <c r="B5" s="59">
        <v>30007727</v>
      </c>
      <c r="C5" s="59">
        <v>30000677</v>
      </c>
      <c r="D5" s="60">
        <v>46054</v>
      </c>
      <c r="E5" s="61" t="s">
        <v>342</v>
      </c>
      <c r="F5" s="61" t="s">
        <v>40</v>
      </c>
      <c r="G5" s="58" t="s">
        <v>19</v>
      </c>
      <c r="H5" s="62">
        <v>-3861.97</v>
      </c>
      <c r="I5" s="62">
        <v>0</v>
      </c>
      <c r="J5" s="58" t="s">
        <v>343</v>
      </c>
      <c r="K5" s="59">
        <v>1</v>
      </c>
    </row>
    <row r="6" spans="1:11" ht="15" customHeight="1" x14ac:dyDescent="0.35">
      <c r="A6" s="58" t="s">
        <v>38</v>
      </c>
      <c r="B6" s="59">
        <v>30007727</v>
      </c>
      <c r="C6" s="59">
        <v>30000677</v>
      </c>
      <c r="D6" s="60">
        <v>46054</v>
      </c>
      <c r="E6" s="61" t="s">
        <v>342</v>
      </c>
      <c r="F6" s="61" t="s">
        <v>40</v>
      </c>
      <c r="G6" s="58" t="s">
        <v>19</v>
      </c>
      <c r="H6" s="62">
        <v>-386.1</v>
      </c>
      <c r="I6" s="62">
        <v>0</v>
      </c>
      <c r="J6" s="58" t="s">
        <v>343</v>
      </c>
      <c r="K6" s="59">
        <v>0</v>
      </c>
    </row>
    <row r="7" spans="1:11" ht="15" customHeight="1" x14ac:dyDescent="0.35">
      <c r="A7" s="63" t="s">
        <v>38</v>
      </c>
      <c r="B7" s="64">
        <v>30007727</v>
      </c>
      <c r="C7" s="64">
        <v>30000677</v>
      </c>
      <c r="D7" s="65">
        <v>46054</v>
      </c>
      <c r="E7" s="66" t="s">
        <v>342</v>
      </c>
      <c r="F7" s="66" t="s">
        <v>40</v>
      </c>
      <c r="G7" s="63" t="s">
        <v>19</v>
      </c>
      <c r="H7" s="67">
        <v>4248.07</v>
      </c>
      <c r="I7" s="67">
        <v>0</v>
      </c>
      <c r="J7" s="63" t="s">
        <v>344</v>
      </c>
      <c r="K7" s="64">
        <v>0</v>
      </c>
    </row>
    <row r="8" spans="1:11" ht="15" customHeight="1" x14ac:dyDescent="0.35">
      <c r="A8" s="58" t="s">
        <v>38</v>
      </c>
      <c r="B8" s="59">
        <v>30007727</v>
      </c>
      <c r="C8" s="59">
        <v>30000677</v>
      </c>
      <c r="D8" s="60">
        <v>46054</v>
      </c>
      <c r="E8" s="61" t="s">
        <v>342</v>
      </c>
      <c r="F8" s="61" t="s">
        <v>40</v>
      </c>
      <c r="G8" s="58" t="s">
        <v>19</v>
      </c>
      <c r="H8" s="62">
        <v>-3849.64</v>
      </c>
      <c r="I8" s="62">
        <v>0</v>
      </c>
      <c r="J8" s="58" t="s">
        <v>343</v>
      </c>
      <c r="K8" s="59">
        <v>0</v>
      </c>
    </row>
    <row r="9" spans="1:11" ht="15" customHeight="1" x14ac:dyDescent="0.35">
      <c r="A9" s="58" t="s">
        <v>38</v>
      </c>
      <c r="B9" s="59">
        <v>30007727</v>
      </c>
      <c r="C9" s="59">
        <v>30000677</v>
      </c>
      <c r="D9" s="60">
        <v>46054</v>
      </c>
      <c r="E9" s="61" t="s">
        <v>342</v>
      </c>
      <c r="F9" s="61" t="s">
        <v>40</v>
      </c>
      <c r="G9" s="58" t="s">
        <v>19</v>
      </c>
      <c r="H9" s="62">
        <v>-320.82</v>
      </c>
      <c r="I9" s="62">
        <v>0</v>
      </c>
      <c r="J9" s="58" t="s">
        <v>343</v>
      </c>
      <c r="K9" s="59">
        <v>0</v>
      </c>
    </row>
    <row r="10" spans="1:11" ht="15" customHeight="1" x14ac:dyDescent="0.35">
      <c r="A10" s="58" t="s">
        <v>111</v>
      </c>
      <c r="B10" s="59">
        <v>30017239</v>
      </c>
      <c r="C10" s="59">
        <v>30005439</v>
      </c>
      <c r="D10" s="60">
        <v>46023</v>
      </c>
      <c r="E10" s="61" t="s">
        <v>345</v>
      </c>
      <c r="F10" s="61" t="s">
        <v>40</v>
      </c>
      <c r="G10" s="58" t="s">
        <v>34</v>
      </c>
      <c r="H10" s="62">
        <v>-1200</v>
      </c>
      <c r="I10" s="62">
        <v>0</v>
      </c>
      <c r="J10" s="58" t="s">
        <v>343</v>
      </c>
      <c r="K10" s="59">
        <v>1</v>
      </c>
    </row>
    <row r="11" spans="1:11" ht="15" customHeight="1" x14ac:dyDescent="0.35">
      <c r="A11" s="58" t="s">
        <v>146</v>
      </c>
      <c r="B11" s="59">
        <v>30012242</v>
      </c>
      <c r="C11" s="59">
        <v>30002927</v>
      </c>
      <c r="D11" s="60">
        <v>46023</v>
      </c>
      <c r="E11" s="61" t="s">
        <v>345</v>
      </c>
      <c r="F11" s="61" t="s">
        <v>40</v>
      </c>
      <c r="G11" s="58" t="s">
        <v>34</v>
      </c>
      <c r="H11" s="62">
        <v>-840.51</v>
      </c>
      <c r="I11" s="62">
        <v>0</v>
      </c>
      <c r="J11" s="58" t="s">
        <v>343</v>
      </c>
      <c r="K11" s="59">
        <v>1</v>
      </c>
    </row>
    <row r="12" spans="1:11" ht="15" customHeight="1" x14ac:dyDescent="0.35">
      <c r="A12" s="68" t="s">
        <v>223</v>
      </c>
      <c r="B12" s="69">
        <v>30011394</v>
      </c>
      <c r="C12" s="69">
        <v>30002303</v>
      </c>
      <c r="D12" s="70">
        <v>46082</v>
      </c>
      <c r="E12" s="71" t="s">
        <v>346</v>
      </c>
      <c r="F12" s="71" t="s">
        <v>20</v>
      </c>
      <c r="G12" s="68" t="s">
        <v>196</v>
      </c>
      <c r="H12" s="72">
        <v>0</v>
      </c>
      <c r="I12" s="72">
        <v>0</v>
      </c>
      <c r="J12" s="68" t="s">
        <v>347</v>
      </c>
      <c r="K12" s="69">
        <v>1</v>
      </c>
    </row>
    <row r="13" spans="1:11" ht="15" customHeight="1" x14ac:dyDescent="0.35">
      <c r="A13" s="58" t="s">
        <v>99</v>
      </c>
      <c r="B13" s="59">
        <v>10001146</v>
      </c>
      <c r="C13" s="59">
        <v>10000135</v>
      </c>
      <c r="D13" s="60">
        <v>46082</v>
      </c>
      <c r="E13" s="61" t="s">
        <v>346</v>
      </c>
      <c r="F13" s="61" t="s">
        <v>40</v>
      </c>
      <c r="G13" s="58" t="s">
        <v>19</v>
      </c>
      <c r="H13" s="62">
        <v>-1375.16</v>
      </c>
      <c r="I13" s="62">
        <v>0</v>
      </c>
      <c r="J13" s="58" t="s">
        <v>343</v>
      </c>
      <c r="K13" s="59">
        <v>1</v>
      </c>
    </row>
    <row r="14" spans="1:11" ht="15" customHeight="1" x14ac:dyDescent="0.35">
      <c r="A14" s="58" t="s">
        <v>117</v>
      </c>
      <c r="B14" s="59">
        <v>30016960</v>
      </c>
      <c r="C14" s="59">
        <v>30005242</v>
      </c>
      <c r="D14" s="60">
        <v>46143</v>
      </c>
      <c r="E14" s="61" t="s">
        <v>348</v>
      </c>
      <c r="F14" s="61" t="s">
        <v>40</v>
      </c>
      <c r="G14" s="58" t="s">
        <v>34</v>
      </c>
      <c r="H14" s="62">
        <v>-1073.29</v>
      </c>
      <c r="I14" s="62">
        <v>0</v>
      </c>
      <c r="J14" s="58" t="s">
        <v>343</v>
      </c>
      <c r="K14" s="59">
        <v>1</v>
      </c>
    </row>
    <row r="15" spans="1:11" ht="15" customHeight="1" x14ac:dyDescent="0.35">
      <c r="A15" s="58" t="s">
        <v>209</v>
      </c>
      <c r="B15" s="59">
        <v>30010080</v>
      </c>
      <c r="C15" s="59">
        <v>30001646</v>
      </c>
      <c r="D15" s="60">
        <v>46113</v>
      </c>
      <c r="E15" s="61" t="s">
        <v>349</v>
      </c>
      <c r="F15" s="61" t="s">
        <v>40</v>
      </c>
      <c r="G15" s="58" t="s">
        <v>196</v>
      </c>
      <c r="H15" s="62">
        <v>-157.28</v>
      </c>
      <c r="I15" s="62">
        <v>-157.28</v>
      </c>
      <c r="J15" s="58" t="s">
        <v>343</v>
      </c>
      <c r="K15" s="59">
        <v>1</v>
      </c>
    </row>
    <row r="16" spans="1:11" ht="15" customHeight="1" x14ac:dyDescent="0.35">
      <c r="A16" s="58" t="s">
        <v>221</v>
      </c>
      <c r="B16" s="59">
        <v>30011293</v>
      </c>
      <c r="C16" s="59">
        <v>30002239</v>
      </c>
      <c r="D16" s="60">
        <v>46023</v>
      </c>
      <c r="E16" s="61" t="s">
        <v>345</v>
      </c>
      <c r="F16" s="61" t="s">
        <v>20</v>
      </c>
      <c r="G16" s="58" t="s">
        <v>34</v>
      </c>
      <c r="H16" s="62">
        <v>-36.051666666999999</v>
      </c>
      <c r="I16" s="62">
        <v>-36.051666666999999</v>
      </c>
      <c r="J16" s="58" t="s">
        <v>343</v>
      </c>
      <c r="K16" s="59">
        <v>1</v>
      </c>
    </row>
    <row r="17" spans="1:11" ht="15" customHeight="1" x14ac:dyDescent="0.35">
      <c r="A17" s="58" t="s">
        <v>44</v>
      </c>
      <c r="B17" s="59">
        <v>30015024</v>
      </c>
      <c r="C17" s="59">
        <v>30004006</v>
      </c>
      <c r="D17" s="60">
        <v>46174</v>
      </c>
      <c r="E17" s="61" t="s">
        <v>350</v>
      </c>
      <c r="F17" s="61" t="s">
        <v>40</v>
      </c>
      <c r="G17" s="58" t="s">
        <v>19</v>
      </c>
      <c r="H17" s="62">
        <v>-2326.1999999999998</v>
      </c>
      <c r="I17" s="62"/>
      <c r="J17" s="58" t="s">
        <v>343</v>
      </c>
      <c r="K17" s="59">
        <v>1</v>
      </c>
    </row>
    <row r="18" spans="1:11" ht="15" customHeight="1" x14ac:dyDescent="0.35">
      <c r="A18" s="58" t="s">
        <v>44</v>
      </c>
      <c r="B18" s="59">
        <v>30015024</v>
      </c>
      <c r="C18" s="59">
        <v>30004006</v>
      </c>
      <c r="D18" s="60">
        <v>46174</v>
      </c>
      <c r="E18" s="61" t="s">
        <v>350</v>
      </c>
      <c r="F18" s="61" t="s">
        <v>40</v>
      </c>
      <c r="G18" s="58" t="s">
        <v>19</v>
      </c>
      <c r="H18" s="62">
        <v>-932.27</v>
      </c>
      <c r="I18" s="62"/>
      <c r="J18" s="58" t="s">
        <v>343</v>
      </c>
      <c r="K18" s="59">
        <v>0</v>
      </c>
    </row>
    <row r="19" spans="1:11" ht="15" customHeight="1" x14ac:dyDescent="0.35">
      <c r="A19" s="58" t="s">
        <v>44</v>
      </c>
      <c r="B19" s="59">
        <v>30015024</v>
      </c>
      <c r="C19" s="59">
        <v>30004006</v>
      </c>
      <c r="D19" s="60">
        <v>46174</v>
      </c>
      <c r="E19" s="61" t="s">
        <v>350</v>
      </c>
      <c r="F19" s="61" t="s">
        <v>40</v>
      </c>
      <c r="G19" s="58" t="s">
        <v>19</v>
      </c>
      <c r="H19" s="62">
        <v>-752.22</v>
      </c>
      <c r="I19" s="62"/>
      <c r="J19" s="58" t="s">
        <v>343</v>
      </c>
      <c r="K19" s="59">
        <v>0</v>
      </c>
    </row>
    <row r="20" spans="1:11" ht="15" customHeight="1" x14ac:dyDescent="0.35">
      <c r="A20" s="58" t="s">
        <v>44</v>
      </c>
      <c r="B20" s="59">
        <v>30015024</v>
      </c>
      <c r="C20" s="59">
        <v>30004006</v>
      </c>
      <c r="D20" s="60">
        <v>46174</v>
      </c>
      <c r="E20" s="61" t="s">
        <v>350</v>
      </c>
      <c r="F20" s="61" t="s">
        <v>40</v>
      </c>
      <c r="G20" s="58" t="s">
        <v>59</v>
      </c>
      <c r="H20" s="62">
        <v>-887.6</v>
      </c>
      <c r="I20" s="62"/>
      <c r="J20" s="58" t="s">
        <v>343</v>
      </c>
      <c r="K20" s="59">
        <v>1</v>
      </c>
    </row>
    <row r="21" spans="1:11" ht="15" customHeight="1" x14ac:dyDescent="0.35">
      <c r="A21" s="58" t="s">
        <v>44</v>
      </c>
      <c r="B21" s="59">
        <v>30015024</v>
      </c>
      <c r="C21" s="59">
        <v>30004006</v>
      </c>
      <c r="D21" s="60">
        <v>46174</v>
      </c>
      <c r="E21" s="61" t="s">
        <v>350</v>
      </c>
      <c r="F21" s="61" t="s">
        <v>40</v>
      </c>
      <c r="G21" s="58" t="s">
        <v>59</v>
      </c>
      <c r="H21" s="62">
        <v>-355.72</v>
      </c>
      <c r="I21" s="62"/>
      <c r="J21" s="58" t="s">
        <v>343</v>
      </c>
      <c r="K21" s="59">
        <v>0</v>
      </c>
    </row>
    <row r="22" spans="1:11" ht="15" customHeight="1" x14ac:dyDescent="0.35">
      <c r="A22" s="58" t="s">
        <v>44</v>
      </c>
      <c r="B22" s="59">
        <v>30015024</v>
      </c>
      <c r="C22" s="59">
        <v>30004006</v>
      </c>
      <c r="D22" s="60">
        <v>46174</v>
      </c>
      <c r="E22" s="61" t="s">
        <v>350</v>
      </c>
      <c r="F22" s="61" t="s">
        <v>40</v>
      </c>
      <c r="G22" s="58" t="s">
        <v>59</v>
      </c>
      <c r="H22" s="62">
        <v>-407.04</v>
      </c>
      <c r="I22" s="62"/>
      <c r="J22" s="58" t="s">
        <v>343</v>
      </c>
      <c r="K22" s="59">
        <v>0</v>
      </c>
    </row>
    <row r="23" spans="1:11" ht="15" customHeight="1" x14ac:dyDescent="0.35">
      <c r="A23" s="58" t="s">
        <v>90</v>
      </c>
      <c r="B23" s="59">
        <v>30010978</v>
      </c>
      <c r="C23" s="59">
        <v>30002051</v>
      </c>
      <c r="D23" s="60">
        <v>46023</v>
      </c>
      <c r="E23" s="61" t="s">
        <v>345</v>
      </c>
      <c r="F23" s="61" t="s">
        <v>20</v>
      </c>
      <c r="G23" s="58" t="s">
        <v>19</v>
      </c>
      <c r="H23" s="62">
        <v>-1657.47</v>
      </c>
      <c r="I23" s="62">
        <v>-1657.47</v>
      </c>
      <c r="J23" s="58" t="s">
        <v>343</v>
      </c>
      <c r="K23" s="59">
        <v>1</v>
      </c>
    </row>
    <row r="24" spans="1:11" ht="15" customHeight="1" x14ac:dyDescent="0.35">
      <c r="A24" s="58" t="s">
        <v>93</v>
      </c>
      <c r="B24" s="59">
        <v>20000027</v>
      </c>
      <c r="C24" s="59">
        <v>30001343</v>
      </c>
      <c r="D24" s="60">
        <v>46054</v>
      </c>
      <c r="E24" s="61" t="s">
        <v>342</v>
      </c>
      <c r="F24" s="61" t="s">
        <v>40</v>
      </c>
      <c r="G24" s="58" t="s">
        <v>87</v>
      </c>
      <c r="H24" s="62">
        <v>-1655.56</v>
      </c>
      <c r="I24" s="62">
        <v>-1655.56</v>
      </c>
      <c r="J24" s="58" t="s">
        <v>343</v>
      </c>
      <c r="K24" s="59">
        <v>1</v>
      </c>
    </row>
    <row r="25" spans="1:11" ht="15" customHeight="1" x14ac:dyDescent="0.35">
      <c r="A25" s="58" t="s">
        <v>172</v>
      </c>
      <c r="B25" s="59">
        <v>30017285</v>
      </c>
      <c r="C25" s="59">
        <v>30005453</v>
      </c>
      <c r="D25" s="60">
        <v>46023</v>
      </c>
      <c r="E25" s="61" t="s">
        <v>345</v>
      </c>
      <c r="F25" s="61" t="s">
        <v>40</v>
      </c>
      <c r="G25" s="58" t="s">
        <v>34</v>
      </c>
      <c r="H25" s="62">
        <v>-583.33000000000004</v>
      </c>
      <c r="I25" s="62">
        <v>0</v>
      </c>
      <c r="J25" s="58" t="s">
        <v>343</v>
      </c>
      <c r="K25" s="59">
        <v>1</v>
      </c>
    </row>
    <row r="26" spans="1:11" ht="15" customHeight="1" x14ac:dyDescent="0.35">
      <c r="A26" s="58" t="s">
        <v>48</v>
      </c>
      <c r="B26" s="59">
        <v>30009772</v>
      </c>
      <c r="C26" s="59">
        <v>30001556</v>
      </c>
      <c r="D26" s="60">
        <v>46143</v>
      </c>
      <c r="E26" s="61" t="s">
        <v>348</v>
      </c>
      <c r="F26" s="61" t="s">
        <v>40</v>
      </c>
      <c r="G26" s="58" t="s">
        <v>19</v>
      </c>
      <c r="H26" s="62">
        <v>-1950.8</v>
      </c>
      <c r="I26" s="62">
        <v>0</v>
      </c>
      <c r="J26" s="58" t="s">
        <v>343</v>
      </c>
      <c r="K26" s="59">
        <v>1</v>
      </c>
    </row>
    <row r="27" spans="1:11" ht="15" customHeight="1" x14ac:dyDescent="0.35">
      <c r="A27" s="58" t="s">
        <v>48</v>
      </c>
      <c r="B27" s="59">
        <v>30009772</v>
      </c>
      <c r="C27" s="59">
        <v>30001556</v>
      </c>
      <c r="D27" s="60">
        <v>46143</v>
      </c>
      <c r="E27" s="61" t="s">
        <v>348</v>
      </c>
      <c r="F27" s="61" t="s">
        <v>40</v>
      </c>
      <c r="G27" s="58" t="s">
        <v>19</v>
      </c>
      <c r="H27" s="62">
        <v>-1457.6</v>
      </c>
      <c r="I27" s="62">
        <v>0</v>
      </c>
      <c r="J27" s="58" t="s">
        <v>343</v>
      </c>
      <c r="K27" s="59">
        <v>0</v>
      </c>
    </row>
    <row r="28" spans="1:11" ht="15" customHeight="1" x14ac:dyDescent="0.35">
      <c r="A28" s="58" t="s">
        <v>24</v>
      </c>
      <c r="B28" s="59">
        <v>30006916</v>
      </c>
      <c r="C28" s="59">
        <v>30001424</v>
      </c>
      <c r="D28" s="60">
        <v>46082</v>
      </c>
      <c r="E28" s="61" t="s">
        <v>346</v>
      </c>
      <c r="F28" s="61" t="s">
        <v>40</v>
      </c>
      <c r="G28" s="58" t="s">
        <v>79</v>
      </c>
      <c r="H28" s="62">
        <v>-1926.9898000000001</v>
      </c>
      <c r="I28" s="62">
        <v>-1926.9898000000001</v>
      </c>
      <c r="J28" s="58" t="s">
        <v>343</v>
      </c>
      <c r="K28" s="59">
        <v>1</v>
      </c>
    </row>
    <row r="29" spans="1:11" ht="15" customHeight="1" x14ac:dyDescent="0.35">
      <c r="A29" s="58" t="s">
        <v>24</v>
      </c>
      <c r="B29" s="59">
        <v>30006916</v>
      </c>
      <c r="C29" s="59">
        <v>30001424</v>
      </c>
      <c r="D29" s="60">
        <v>46174</v>
      </c>
      <c r="E29" s="61" t="s">
        <v>350</v>
      </c>
      <c r="F29" s="61" t="s">
        <v>20</v>
      </c>
      <c r="G29" s="58" t="s">
        <v>19</v>
      </c>
      <c r="H29" s="62">
        <v>-13701.65</v>
      </c>
      <c r="I29" s="62">
        <v>-13701.65</v>
      </c>
      <c r="J29" s="58" t="s">
        <v>343</v>
      </c>
      <c r="K29" s="59">
        <v>1</v>
      </c>
    </row>
    <row r="30" spans="1:11" ht="15" customHeight="1" x14ac:dyDescent="0.35">
      <c r="A30" s="58" t="s">
        <v>184</v>
      </c>
      <c r="B30" s="59">
        <v>20000043</v>
      </c>
      <c r="C30" s="59">
        <v>30000717</v>
      </c>
      <c r="D30" s="60">
        <v>46174</v>
      </c>
      <c r="E30" s="61" t="s">
        <v>350</v>
      </c>
      <c r="F30" s="61" t="s">
        <v>20</v>
      </c>
      <c r="G30" s="58" t="s">
        <v>19</v>
      </c>
      <c r="H30" s="62">
        <v>-514.72</v>
      </c>
      <c r="I30" s="62">
        <v>-514.72</v>
      </c>
      <c r="J30" s="58" t="s">
        <v>343</v>
      </c>
      <c r="K30" s="59">
        <v>1</v>
      </c>
    </row>
    <row r="31" spans="1:11" ht="15" customHeight="1" x14ac:dyDescent="0.35">
      <c r="A31" s="58" t="s">
        <v>140</v>
      </c>
      <c r="B31" s="59">
        <v>30013184</v>
      </c>
      <c r="C31" s="59">
        <v>30000891</v>
      </c>
      <c r="D31" s="60">
        <v>46054</v>
      </c>
      <c r="E31" s="61" t="s">
        <v>342</v>
      </c>
      <c r="F31" s="61" t="s">
        <v>20</v>
      </c>
      <c r="G31" s="58" t="s">
        <v>19</v>
      </c>
      <c r="H31" s="62">
        <v>-884.96</v>
      </c>
      <c r="I31" s="62">
        <v>-884.96</v>
      </c>
      <c r="J31" s="58" t="s">
        <v>343</v>
      </c>
      <c r="K31" s="59">
        <v>1</v>
      </c>
    </row>
    <row r="32" spans="1:11" ht="15" customHeight="1" x14ac:dyDescent="0.35">
      <c r="A32" s="58" t="s">
        <v>218</v>
      </c>
      <c r="B32" s="59">
        <v>30013092</v>
      </c>
      <c r="C32" s="59">
        <v>30003274</v>
      </c>
      <c r="D32" s="60">
        <v>46143</v>
      </c>
      <c r="E32" s="61" t="s">
        <v>348</v>
      </c>
      <c r="F32" s="61" t="s">
        <v>20</v>
      </c>
      <c r="G32" s="58" t="s">
        <v>34</v>
      </c>
      <c r="H32" s="62">
        <v>-65.3</v>
      </c>
      <c r="I32" s="62">
        <v>-65.3</v>
      </c>
      <c r="J32" s="58" t="s">
        <v>343</v>
      </c>
      <c r="K32" s="59">
        <v>1</v>
      </c>
    </row>
    <row r="33" spans="1:11" ht="15" customHeight="1" x14ac:dyDescent="0.35">
      <c r="A33" s="58" t="s">
        <v>143</v>
      </c>
      <c r="B33" s="59">
        <v>30010781</v>
      </c>
      <c r="C33" s="59">
        <v>30001903</v>
      </c>
      <c r="D33" s="60">
        <v>46054</v>
      </c>
      <c r="E33" s="61" t="s">
        <v>342</v>
      </c>
      <c r="F33" s="61" t="s">
        <v>20</v>
      </c>
      <c r="G33" s="58" t="s">
        <v>87</v>
      </c>
      <c r="H33" s="62">
        <v>-865.52</v>
      </c>
      <c r="I33" s="62">
        <v>-865.52</v>
      </c>
      <c r="J33" s="58" t="s">
        <v>343</v>
      </c>
      <c r="K33" s="59">
        <v>1</v>
      </c>
    </row>
    <row r="34" spans="1:11" ht="15" customHeight="1" x14ac:dyDescent="0.35">
      <c r="A34" s="58" t="s">
        <v>188</v>
      </c>
      <c r="B34" s="59">
        <v>30018091</v>
      </c>
      <c r="C34" s="59">
        <v>30005902</v>
      </c>
      <c r="D34" s="60">
        <v>46054</v>
      </c>
      <c r="E34" s="61" t="s">
        <v>342</v>
      </c>
      <c r="F34" s="61" t="s">
        <v>40</v>
      </c>
      <c r="G34" s="58" t="s">
        <v>34</v>
      </c>
      <c r="H34" s="62">
        <v>-480</v>
      </c>
      <c r="I34" s="62">
        <v>0</v>
      </c>
      <c r="J34" s="58" t="s">
        <v>343</v>
      </c>
      <c r="K34" s="59">
        <v>1</v>
      </c>
    </row>
    <row r="35" spans="1:11" ht="15" customHeight="1" x14ac:dyDescent="0.35">
      <c r="A35" s="58" t="s">
        <v>149</v>
      </c>
      <c r="B35" s="59">
        <v>30014925</v>
      </c>
      <c r="C35" s="59">
        <v>30003941</v>
      </c>
      <c r="D35" s="60">
        <v>46143</v>
      </c>
      <c r="E35" s="61" t="s">
        <v>348</v>
      </c>
      <c r="F35" s="61" t="s">
        <v>40</v>
      </c>
      <c r="G35" s="58" t="s">
        <v>34</v>
      </c>
      <c r="H35" s="62">
        <v>-827.41</v>
      </c>
      <c r="I35" s="62">
        <v>0</v>
      </c>
      <c r="J35" s="58" t="s">
        <v>343</v>
      </c>
      <c r="K35" s="59">
        <v>1</v>
      </c>
    </row>
    <row r="36" spans="1:11" ht="15" customHeight="1" x14ac:dyDescent="0.35">
      <c r="A36" s="58" t="s">
        <v>134</v>
      </c>
      <c r="B36" s="59">
        <v>30017436</v>
      </c>
      <c r="C36" s="59">
        <v>30005541</v>
      </c>
      <c r="D36" s="60">
        <v>46174</v>
      </c>
      <c r="E36" s="61" t="s">
        <v>350</v>
      </c>
      <c r="F36" s="61" t="s">
        <v>40</v>
      </c>
      <c r="G36" s="58" t="s">
        <v>34</v>
      </c>
      <c r="H36" s="62">
        <v>-963.73</v>
      </c>
      <c r="I36" s="62"/>
      <c r="J36" s="58" t="s">
        <v>343</v>
      </c>
      <c r="K36" s="59">
        <v>1</v>
      </c>
    </row>
    <row r="37" spans="1:11" ht="15" customHeight="1" x14ac:dyDescent="0.35">
      <c r="A37" s="58" t="s">
        <v>102</v>
      </c>
      <c r="B37" s="59">
        <v>30008736</v>
      </c>
      <c r="C37" s="59">
        <v>30005481</v>
      </c>
      <c r="D37" s="60">
        <v>46054</v>
      </c>
      <c r="E37" s="61" t="s">
        <v>342</v>
      </c>
      <c r="F37" s="61" t="s">
        <v>20</v>
      </c>
      <c r="G37" s="58" t="s">
        <v>87</v>
      </c>
      <c r="H37" s="62">
        <v>-1352.1</v>
      </c>
      <c r="I37" s="62">
        <v>-1352.1</v>
      </c>
      <c r="J37" s="58" t="s">
        <v>343</v>
      </c>
      <c r="K37" s="59">
        <v>1</v>
      </c>
    </row>
    <row r="38" spans="1:11" ht="15" customHeight="1" x14ac:dyDescent="0.35">
      <c r="A38" s="58" t="s">
        <v>108</v>
      </c>
      <c r="B38" s="59">
        <v>130</v>
      </c>
      <c r="C38" s="59">
        <v>30002569</v>
      </c>
      <c r="D38" s="60">
        <v>46054</v>
      </c>
      <c r="E38" s="61" t="s">
        <v>342</v>
      </c>
      <c r="F38" s="61" t="s">
        <v>40</v>
      </c>
      <c r="G38" s="58" t="s">
        <v>34</v>
      </c>
      <c r="H38" s="62">
        <v>-1201.82</v>
      </c>
      <c r="I38" s="62">
        <v>0</v>
      </c>
      <c r="J38" s="58" t="s">
        <v>343</v>
      </c>
      <c r="K38" s="59">
        <v>1</v>
      </c>
    </row>
    <row r="39" spans="1:11" ht="15" customHeight="1" x14ac:dyDescent="0.35">
      <c r="A39" s="58" t="s">
        <v>199</v>
      </c>
      <c r="B39" s="59">
        <v>30015743</v>
      </c>
      <c r="C39" s="59">
        <v>30005853</v>
      </c>
      <c r="D39" s="60">
        <v>46082</v>
      </c>
      <c r="E39" s="61" t="s">
        <v>346</v>
      </c>
      <c r="F39" s="61" t="s">
        <v>40</v>
      </c>
      <c r="G39" s="58" t="s">
        <v>34</v>
      </c>
      <c r="H39" s="62">
        <v>-320</v>
      </c>
      <c r="I39" s="62">
        <v>0</v>
      </c>
      <c r="J39" s="58" t="s">
        <v>343</v>
      </c>
      <c r="K39" s="59">
        <v>1</v>
      </c>
    </row>
    <row r="40" spans="1:11" ht="15" customHeight="1" x14ac:dyDescent="0.35">
      <c r="A40" s="58" t="s">
        <v>164</v>
      </c>
      <c r="B40" s="59"/>
      <c r="C40" s="59">
        <v>30007398</v>
      </c>
      <c r="D40" s="60">
        <v>46174</v>
      </c>
      <c r="E40" s="61" t="s">
        <v>350</v>
      </c>
      <c r="F40" s="61" t="s">
        <v>40</v>
      </c>
      <c r="G40" s="58" t="s">
        <v>34</v>
      </c>
      <c r="H40" s="62">
        <v>-621.26</v>
      </c>
      <c r="I40" s="62"/>
      <c r="J40" s="58" t="s">
        <v>343</v>
      </c>
      <c r="K40" s="59">
        <v>1</v>
      </c>
    </row>
    <row r="41" spans="1:11" ht="15" customHeight="1" x14ac:dyDescent="0.35">
      <c r="A41" s="58" t="s">
        <v>191</v>
      </c>
      <c r="B41" s="59">
        <v>30016118</v>
      </c>
      <c r="C41" s="59">
        <v>30004747</v>
      </c>
      <c r="D41" s="60">
        <v>46082</v>
      </c>
      <c r="E41" s="61" t="s">
        <v>346</v>
      </c>
      <c r="F41" s="61" t="s">
        <v>40</v>
      </c>
      <c r="G41" s="58" t="s">
        <v>87</v>
      </c>
      <c r="H41" s="62">
        <v>-447.72</v>
      </c>
      <c r="I41" s="62">
        <v>0</v>
      </c>
      <c r="J41" s="58" t="s">
        <v>343</v>
      </c>
      <c r="K41" s="59">
        <v>1</v>
      </c>
    </row>
    <row r="42" spans="1:11" ht="15" customHeight="1" x14ac:dyDescent="0.35">
      <c r="A42" s="63" t="s">
        <v>191</v>
      </c>
      <c r="B42" s="64">
        <v>30016118</v>
      </c>
      <c r="C42" s="64">
        <v>30004747</v>
      </c>
      <c r="D42" s="65">
        <v>46082</v>
      </c>
      <c r="E42" s="66" t="s">
        <v>346</v>
      </c>
      <c r="F42" s="66" t="s">
        <v>40</v>
      </c>
      <c r="G42" s="63" t="s">
        <v>87</v>
      </c>
      <c r="H42" s="67">
        <v>447.72</v>
      </c>
      <c r="I42" s="67">
        <v>0</v>
      </c>
      <c r="J42" s="63" t="s">
        <v>344</v>
      </c>
      <c r="K42" s="64">
        <v>0</v>
      </c>
    </row>
    <row r="43" spans="1:11" ht="15" customHeight="1" x14ac:dyDescent="0.35">
      <c r="A43" s="58" t="s">
        <v>191</v>
      </c>
      <c r="B43" s="59">
        <v>30016118</v>
      </c>
      <c r="C43" s="59">
        <v>30004747</v>
      </c>
      <c r="D43" s="60">
        <v>46082</v>
      </c>
      <c r="E43" s="61" t="s">
        <v>346</v>
      </c>
      <c r="F43" s="61" t="s">
        <v>40</v>
      </c>
      <c r="G43" s="58" t="s">
        <v>87</v>
      </c>
      <c r="H43" s="62">
        <v>-447.72</v>
      </c>
      <c r="I43" s="62">
        <v>0</v>
      </c>
      <c r="J43" s="58" t="s">
        <v>343</v>
      </c>
      <c r="K43" s="59">
        <v>0</v>
      </c>
    </row>
    <row r="44" spans="1:11" ht="15" customHeight="1" x14ac:dyDescent="0.35">
      <c r="A44" s="58" t="s">
        <v>205</v>
      </c>
      <c r="B44" s="59">
        <v>30016337</v>
      </c>
      <c r="C44" s="59">
        <v>30004869</v>
      </c>
      <c r="D44" s="60">
        <v>46143</v>
      </c>
      <c r="E44" s="61" t="s">
        <v>348</v>
      </c>
      <c r="F44" s="61" t="s">
        <v>20</v>
      </c>
      <c r="G44" s="58" t="s">
        <v>34</v>
      </c>
      <c r="H44" s="62">
        <v>-113.26</v>
      </c>
      <c r="I44" s="62">
        <v>-113.26</v>
      </c>
      <c r="J44" s="58" t="s">
        <v>343</v>
      </c>
      <c r="K44" s="59">
        <v>1</v>
      </c>
    </row>
    <row r="45" spans="1:11" ht="15" customHeight="1" x14ac:dyDescent="0.35">
      <c r="A45" s="58" t="s">
        <v>205</v>
      </c>
      <c r="B45" s="59">
        <v>30016337</v>
      </c>
      <c r="C45" s="59">
        <v>30004869</v>
      </c>
      <c r="D45" s="60">
        <v>46143</v>
      </c>
      <c r="E45" s="61" t="s">
        <v>348</v>
      </c>
      <c r="F45" s="61" t="s">
        <v>20</v>
      </c>
      <c r="G45" s="58" t="s">
        <v>34</v>
      </c>
      <c r="H45" s="62">
        <v>-99.77</v>
      </c>
      <c r="I45" s="62">
        <v>-99.77</v>
      </c>
      <c r="J45" s="58" t="s">
        <v>343</v>
      </c>
      <c r="K45" s="59">
        <v>0</v>
      </c>
    </row>
    <row r="46" spans="1:11" ht="15" customHeight="1" x14ac:dyDescent="0.35">
      <c r="A46" s="58" t="s">
        <v>202</v>
      </c>
      <c r="B46" s="59">
        <v>30012511</v>
      </c>
      <c r="C46" s="59">
        <v>30003044</v>
      </c>
      <c r="D46" s="60">
        <v>46054</v>
      </c>
      <c r="E46" s="61" t="s">
        <v>342</v>
      </c>
      <c r="F46" s="61" t="s">
        <v>40</v>
      </c>
      <c r="G46" s="58" t="s">
        <v>34</v>
      </c>
      <c r="H46" s="62">
        <v>-302.91000000000003</v>
      </c>
      <c r="I46" s="62">
        <v>0</v>
      </c>
      <c r="J46" s="58" t="s">
        <v>343</v>
      </c>
      <c r="K46" s="59">
        <v>1</v>
      </c>
    </row>
    <row r="47" spans="1:11" ht="15" customHeight="1" x14ac:dyDescent="0.35">
      <c r="A47" s="58" t="s">
        <v>32</v>
      </c>
      <c r="B47" s="59">
        <v>30016958</v>
      </c>
      <c r="C47" s="59">
        <v>30005248</v>
      </c>
      <c r="D47" s="60">
        <v>46143</v>
      </c>
      <c r="E47" s="61" t="s">
        <v>348</v>
      </c>
      <c r="F47" s="61" t="s">
        <v>20</v>
      </c>
      <c r="G47" s="58" t="s">
        <v>34</v>
      </c>
      <c r="H47" s="62">
        <v>-4195.79</v>
      </c>
      <c r="I47" s="62">
        <v>-4195.79</v>
      </c>
      <c r="J47" s="58" t="s">
        <v>343</v>
      </c>
      <c r="K47" s="59">
        <v>1</v>
      </c>
    </row>
    <row r="48" spans="1:11" ht="15" customHeight="1" x14ac:dyDescent="0.35">
      <c r="A48" s="58" t="s">
        <v>127</v>
      </c>
      <c r="B48" s="59">
        <v>30016543</v>
      </c>
      <c r="C48" s="59">
        <v>30001182</v>
      </c>
      <c r="D48" s="60">
        <v>46174</v>
      </c>
      <c r="E48" s="61" t="s">
        <v>350</v>
      </c>
      <c r="F48" s="61" t="s">
        <v>40</v>
      </c>
      <c r="G48" s="58" t="s">
        <v>196</v>
      </c>
      <c r="H48" s="62">
        <v>-131.11000000000001</v>
      </c>
      <c r="I48" s="62"/>
      <c r="J48" s="58" t="s">
        <v>343</v>
      </c>
      <c r="K48" s="59">
        <v>1</v>
      </c>
    </row>
    <row r="49" spans="1:11" ht="15" customHeight="1" x14ac:dyDescent="0.35">
      <c r="A49" s="63" t="s">
        <v>127</v>
      </c>
      <c r="B49" s="64">
        <v>30016543</v>
      </c>
      <c r="C49" s="64">
        <v>30001182</v>
      </c>
      <c r="D49" s="65">
        <v>46174</v>
      </c>
      <c r="E49" s="66" t="s">
        <v>350</v>
      </c>
      <c r="F49" s="66" t="s">
        <v>40</v>
      </c>
      <c r="G49" s="63" t="s">
        <v>196</v>
      </c>
      <c r="H49" s="67">
        <v>131.11000000000001</v>
      </c>
      <c r="I49" s="67"/>
      <c r="J49" s="63" t="s">
        <v>344</v>
      </c>
      <c r="K49" s="64">
        <v>0</v>
      </c>
    </row>
    <row r="50" spans="1:11" ht="15" customHeight="1" x14ac:dyDescent="0.35">
      <c r="A50" s="58" t="s">
        <v>127</v>
      </c>
      <c r="B50" s="59">
        <v>30016543</v>
      </c>
      <c r="C50" s="59">
        <v>30001182</v>
      </c>
      <c r="D50" s="60">
        <v>46174</v>
      </c>
      <c r="E50" s="61" t="s">
        <v>350</v>
      </c>
      <c r="F50" s="61" t="s">
        <v>40</v>
      </c>
      <c r="G50" s="58" t="s">
        <v>19</v>
      </c>
      <c r="H50" s="62">
        <v>-4466.62</v>
      </c>
      <c r="I50" s="62"/>
      <c r="J50" s="58" t="s">
        <v>343</v>
      </c>
      <c r="K50" s="59">
        <v>1</v>
      </c>
    </row>
    <row r="51" spans="1:11" ht="15" customHeight="1" x14ac:dyDescent="0.35">
      <c r="A51" s="58" t="s">
        <v>127</v>
      </c>
      <c r="B51" s="59">
        <v>30016543</v>
      </c>
      <c r="C51" s="59">
        <v>30001182</v>
      </c>
      <c r="D51" s="60">
        <v>46174</v>
      </c>
      <c r="E51" s="61" t="s">
        <v>350</v>
      </c>
      <c r="F51" s="61" t="s">
        <v>40</v>
      </c>
      <c r="G51" s="58" t="s">
        <v>19</v>
      </c>
      <c r="H51" s="62">
        <v>-610.74</v>
      </c>
      <c r="I51" s="62"/>
      <c r="J51" s="58" t="s">
        <v>343</v>
      </c>
      <c r="K51" s="59">
        <v>0</v>
      </c>
    </row>
    <row r="52" spans="1:11" ht="15" customHeight="1" x14ac:dyDescent="0.35">
      <c r="A52" s="63" t="s">
        <v>127</v>
      </c>
      <c r="B52" s="64">
        <v>30016543</v>
      </c>
      <c r="C52" s="64">
        <v>30001182</v>
      </c>
      <c r="D52" s="65">
        <v>46174</v>
      </c>
      <c r="E52" s="66" t="s">
        <v>350</v>
      </c>
      <c r="F52" s="66" t="s">
        <v>40</v>
      </c>
      <c r="G52" s="63" t="s">
        <v>19</v>
      </c>
      <c r="H52" s="67">
        <v>556.62</v>
      </c>
      <c r="I52" s="67"/>
      <c r="J52" s="63" t="s">
        <v>344</v>
      </c>
      <c r="K52" s="64">
        <v>0</v>
      </c>
    </row>
    <row r="53" spans="1:11" ht="15" customHeight="1" x14ac:dyDescent="0.35">
      <c r="A53" s="63" t="s">
        <v>127</v>
      </c>
      <c r="B53" s="64">
        <v>30016543</v>
      </c>
      <c r="C53" s="64">
        <v>30001182</v>
      </c>
      <c r="D53" s="65">
        <v>46174</v>
      </c>
      <c r="E53" s="66" t="s">
        <v>350</v>
      </c>
      <c r="F53" s="66" t="s">
        <v>40</v>
      </c>
      <c r="G53" s="63" t="s">
        <v>19</v>
      </c>
      <c r="H53" s="67">
        <v>464.76</v>
      </c>
      <c r="I53" s="67"/>
      <c r="J53" s="63" t="s">
        <v>344</v>
      </c>
      <c r="K53" s="64">
        <v>0</v>
      </c>
    </row>
    <row r="54" spans="1:11" ht="15" customHeight="1" x14ac:dyDescent="0.35">
      <c r="A54" s="58" t="s">
        <v>127</v>
      </c>
      <c r="B54" s="59">
        <v>30016543</v>
      </c>
      <c r="C54" s="59">
        <v>30001182</v>
      </c>
      <c r="D54" s="60">
        <v>46174</v>
      </c>
      <c r="E54" s="61" t="s">
        <v>350</v>
      </c>
      <c r="F54" s="61" t="s">
        <v>40</v>
      </c>
      <c r="G54" s="58" t="s">
        <v>19</v>
      </c>
      <c r="H54" s="62">
        <v>-251.07</v>
      </c>
      <c r="I54" s="62"/>
      <c r="J54" s="58" t="s">
        <v>343</v>
      </c>
      <c r="K54" s="59">
        <v>0</v>
      </c>
    </row>
    <row r="55" spans="1:11" ht="15" customHeight="1" x14ac:dyDescent="0.35">
      <c r="A55" s="58" t="s">
        <v>127</v>
      </c>
      <c r="B55" s="59">
        <v>30016543</v>
      </c>
      <c r="C55" s="59">
        <v>30001182</v>
      </c>
      <c r="D55" s="60">
        <v>46174</v>
      </c>
      <c r="E55" s="61" t="s">
        <v>350</v>
      </c>
      <c r="F55" s="61" t="s">
        <v>40</v>
      </c>
      <c r="G55" s="58" t="s">
        <v>19</v>
      </c>
      <c r="H55" s="62">
        <v>-267.92</v>
      </c>
      <c r="I55" s="62"/>
      <c r="J55" s="58" t="s">
        <v>343</v>
      </c>
      <c r="K55" s="59">
        <v>0</v>
      </c>
    </row>
    <row r="56" spans="1:11" ht="15" customHeight="1" x14ac:dyDescent="0.35">
      <c r="A56" s="58" t="s">
        <v>127</v>
      </c>
      <c r="B56" s="59">
        <v>30016543</v>
      </c>
      <c r="C56" s="59">
        <v>30001182</v>
      </c>
      <c r="D56" s="60">
        <v>46174</v>
      </c>
      <c r="E56" s="61" t="s">
        <v>350</v>
      </c>
      <c r="F56" s="61" t="s">
        <v>40</v>
      </c>
      <c r="G56" s="58" t="s">
        <v>19</v>
      </c>
      <c r="H56" s="62">
        <v>-273.64999999999998</v>
      </c>
      <c r="I56" s="62"/>
      <c r="J56" s="58" t="s">
        <v>343</v>
      </c>
      <c r="K56" s="59">
        <v>0</v>
      </c>
    </row>
    <row r="57" spans="1:11" ht="15" customHeight="1" x14ac:dyDescent="0.35">
      <c r="A57" s="63" t="s">
        <v>127</v>
      </c>
      <c r="B57" s="64">
        <v>30016543</v>
      </c>
      <c r="C57" s="64">
        <v>30001182</v>
      </c>
      <c r="D57" s="65">
        <v>46174</v>
      </c>
      <c r="E57" s="66" t="s">
        <v>350</v>
      </c>
      <c r="F57" s="66" t="s">
        <v>40</v>
      </c>
      <c r="G57" s="63" t="s">
        <v>19</v>
      </c>
      <c r="H57" s="67">
        <v>2551.66</v>
      </c>
      <c r="I57" s="67"/>
      <c r="J57" s="63" t="s">
        <v>344</v>
      </c>
      <c r="K57" s="64">
        <v>0</v>
      </c>
    </row>
    <row r="58" spans="1:11" ht="15" customHeight="1" x14ac:dyDescent="0.35">
      <c r="A58" s="63" t="s">
        <v>127</v>
      </c>
      <c r="B58" s="64">
        <v>30016543</v>
      </c>
      <c r="C58" s="64">
        <v>30001182</v>
      </c>
      <c r="D58" s="65">
        <v>46174</v>
      </c>
      <c r="E58" s="66" t="s">
        <v>350</v>
      </c>
      <c r="F58" s="66" t="s">
        <v>40</v>
      </c>
      <c r="G58" s="63" t="s">
        <v>19</v>
      </c>
      <c r="H58" s="67">
        <v>1256.6400000000001</v>
      </c>
      <c r="I58" s="67"/>
      <c r="J58" s="63" t="s">
        <v>344</v>
      </c>
      <c r="K58" s="64">
        <v>0</v>
      </c>
    </row>
    <row r="59" spans="1:11" ht="15" customHeight="1" x14ac:dyDescent="0.35">
      <c r="A59" s="58" t="s">
        <v>61</v>
      </c>
      <c r="B59" s="59">
        <v>30018439</v>
      </c>
      <c r="C59" s="59">
        <v>30006041</v>
      </c>
      <c r="D59" s="60">
        <v>46143</v>
      </c>
      <c r="E59" s="61" t="s">
        <v>348</v>
      </c>
      <c r="F59" s="61" t="s">
        <v>40</v>
      </c>
      <c r="G59" s="58" t="s">
        <v>34</v>
      </c>
      <c r="H59" s="62">
        <v>-2775.55</v>
      </c>
      <c r="I59" s="62">
        <v>0</v>
      </c>
      <c r="J59" s="58" t="s">
        <v>343</v>
      </c>
      <c r="K59" s="59">
        <v>1</v>
      </c>
    </row>
    <row r="60" spans="1:11" ht="15" customHeight="1" x14ac:dyDescent="0.35">
      <c r="A60" s="58" t="s">
        <v>174</v>
      </c>
      <c r="B60" s="59">
        <v>30008217</v>
      </c>
      <c r="C60" s="59">
        <v>30001240</v>
      </c>
      <c r="D60" s="60">
        <v>46143</v>
      </c>
      <c r="E60" s="61" t="s">
        <v>348</v>
      </c>
      <c r="F60" s="61" t="s">
        <v>20</v>
      </c>
      <c r="G60" s="58" t="s">
        <v>19</v>
      </c>
      <c r="H60" s="62">
        <v>-580.08000000000004</v>
      </c>
      <c r="I60" s="62">
        <v>-580.08000000000004</v>
      </c>
      <c r="J60" s="58" t="s">
        <v>343</v>
      </c>
      <c r="K60" s="59">
        <v>1</v>
      </c>
    </row>
    <row r="61" spans="1:11" ht="15" customHeight="1" x14ac:dyDescent="0.35">
      <c r="A61" s="58" t="s">
        <v>85</v>
      </c>
      <c r="B61" s="59">
        <v>30010824</v>
      </c>
      <c r="C61" s="59">
        <v>30001946</v>
      </c>
      <c r="D61" s="60">
        <v>46054</v>
      </c>
      <c r="E61" s="61" t="s">
        <v>342</v>
      </c>
      <c r="F61" s="61" t="s">
        <v>20</v>
      </c>
      <c r="G61" s="58" t="s">
        <v>87</v>
      </c>
      <c r="H61" s="62">
        <v>-1865.58</v>
      </c>
      <c r="I61" s="62">
        <v>-1865.58</v>
      </c>
      <c r="J61" s="58" t="s">
        <v>343</v>
      </c>
      <c r="K61" s="59">
        <v>1</v>
      </c>
    </row>
    <row r="62" spans="1:11" ht="15" customHeight="1" x14ac:dyDescent="0.35">
      <c r="A62" s="58" t="s">
        <v>194</v>
      </c>
      <c r="B62" s="59">
        <v>30004467</v>
      </c>
      <c r="C62" s="59">
        <v>30000770</v>
      </c>
      <c r="D62" s="60">
        <v>46174</v>
      </c>
      <c r="E62" s="61" t="s">
        <v>350</v>
      </c>
      <c r="F62" s="61" t="s">
        <v>20</v>
      </c>
      <c r="G62" s="58" t="s">
        <v>196</v>
      </c>
      <c r="H62" s="62">
        <v>-407.24</v>
      </c>
      <c r="I62" s="62">
        <v>-407.24</v>
      </c>
      <c r="J62" s="58" t="s">
        <v>343</v>
      </c>
      <c r="K62" s="59">
        <v>1</v>
      </c>
    </row>
    <row r="63" spans="1:11" ht="15" customHeight="1" x14ac:dyDescent="0.35">
      <c r="A63" s="58" t="s">
        <v>214</v>
      </c>
      <c r="B63" s="59">
        <v>30010335</v>
      </c>
      <c r="C63" s="59">
        <v>30001726</v>
      </c>
      <c r="D63" s="60">
        <v>46174</v>
      </c>
      <c r="E63" s="61" t="s">
        <v>350</v>
      </c>
      <c r="F63" s="61" t="s">
        <v>20</v>
      </c>
      <c r="G63" s="58" t="s">
        <v>196</v>
      </c>
      <c r="H63" s="62">
        <v>-151.44999999999999</v>
      </c>
      <c r="I63" s="62">
        <v>-151.44999999999999</v>
      </c>
      <c r="J63" s="58" t="s">
        <v>343</v>
      </c>
      <c r="K63" s="59">
        <v>1</v>
      </c>
    </row>
    <row r="64" spans="1:11" ht="15" customHeight="1" x14ac:dyDescent="0.35">
      <c r="A64" s="58" t="s">
        <v>105</v>
      </c>
      <c r="B64" s="59">
        <v>30020666</v>
      </c>
      <c r="C64" s="59">
        <v>30007174</v>
      </c>
      <c r="D64" s="60">
        <v>46174</v>
      </c>
      <c r="E64" s="61" t="s">
        <v>350</v>
      </c>
      <c r="F64" s="61" t="s">
        <v>40</v>
      </c>
      <c r="G64" s="58" t="s">
        <v>34</v>
      </c>
      <c r="H64" s="62">
        <v>-1327.99</v>
      </c>
      <c r="I64" s="62"/>
      <c r="J64" s="58" t="s">
        <v>343</v>
      </c>
      <c r="K64" s="59">
        <v>1</v>
      </c>
    </row>
    <row r="65" spans="1:11" ht="15" customHeight="1" x14ac:dyDescent="0.35">
      <c r="A65" s="58" t="s">
        <v>177</v>
      </c>
      <c r="B65" s="59">
        <v>30005462</v>
      </c>
      <c r="C65" s="59">
        <v>30000900</v>
      </c>
      <c r="D65" s="60">
        <v>46082</v>
      </c>
      <c r="E65" s="61" t="s">
        <v>346</v>
      </c>
      <c r="F65" s="61" t="s">
        <v>20</v>
      </c>
      <c r="G65" s="58" t="s">
        <v>19</v>
      </c>
      <c r="H65" s="62">
        <v>-561.54</v>
      </c>
      <c r="I65" s="62">
        <v>-561.54</v>
      </c>
      <c r="J65" s="58" t="s">
        <v>343</v>
      </c>
      <c r="K65" s="59">
        <v>1</v>
      </c>
    </row>
    <row r="66" spans="1:11" ht="15" customHeight="1" x14ac:dyDescent="0.35">
      <c r="A66" s="58" t="s">
        <v>179</v>
      </c>
      <c r="B66" s="59">
        <v>30016791</v>
      </c>
      <c r="C66" s="59">
        <v>30005763</v>
      </c>
      <c r="D66" s="60">
        <v>46054</v>
      </c>
      <c r="E66" s="61" t="s">
        <v>342</v>
      </c>
      <c r="F66" s="61" t="s">
        <v>40</v>
      </c>
      <c r="G66" s="58" t="s">
        <v>87</v>
      </c>
      <c r="H66" s="62">
        <v>-517.19000000000005</v>
      </c>
      <c r="I66" s="62">
        <v>-517.19000000000005</v>
      </c>
      <c r="J66" s="58" t="s">
        <v>343</v>
      </c>
      <c r="K66" s="59">
        <v>1</v>
      </c>
    </row>
    <row r="67" spans="1:11" ht="15" customHeight="1" x14ac:dyDescent="0.35">
      <c r="A67" s="58" t="s">
        <v>57</v>
      </c>
      <c r="B67" s="59">
        <v>30006687</v>
      </c>
      <c r="C67" s="59">
        <v>30004170</v>
      </c>
      <c r="D67" s="60">
        <v>46143</v>
      </c>
      <c r="E67" s="61" t="s">
        <v>348</v>
      </c>
      <c r="F67" s="61" t="s">
        <v>40</v>
      </c>
      <c r="G67" s="58" t="s">
        <v>59</v>
      </c>
      <c r="H67" s="62">
        <v>-3046.65</v>
      </c>
      <c r="I67" s="62">
        <v>0</v>
      </c>
      <c r="J67" s="58" t="s">
        <v>343</v>
      </c>
      <c r="K67" s="59">
        <v>1</v>
      </c>
    </row>
    <row r="68" spans="1:11" ht="15" customHeight="1" x14ac:dyDescent="0.35">
      <c r="A68" s="58" t="s">
        <v>70</v>
      </c>
      <c r="B68" s="59">
        <v>30016194</v>
      </c>
      <c r="C68" s="59">
        <v>30004772</v>
      </c>
      <c r="D68" s="60">
        <v>46174</v>
      </c>
      <c r="E68" s="61" t="s">
        <v>350</v>
      </c>
      <c r="F68" s="61" t="s">
        <v>40</v>
      </c>
      <c r="G68" s="58" t="s">
        <v>19</v>
      </c>
      <c r="H68" s="62">
        <v>-2150.61</v>
      </c>
      <c r="I68" s="62"/>
      <c r="J68" s="58" t="s">
        <v>343</v>
      </c>
      <c r="K68" s="59">
        <v>1</v>
      </c>
    </row>
    <row r="69" spans="1:11" ht="15" customHeight="1" x14ac:dyDescent="0.35">
      <c r="A69" s="58" t="s">
        <v>96</v>
      </c>
      <c r="B69" s="59">
        <v>10002290</v>
      </c>
      <c r="C69" s="59">
        <v>30001671</v>
      </c>
      <c r="D69" s="60">
        <v>46174</v>
      </c>
      <c r="E69" s="61" t="s">
        <v>350</v>
      </c>
      <c r="F69" s="61" t="s">
        <v>20</v>
      </c>
      <c r="G69" s="58" t="s">
        <v>19</v>
      </c>
      <c r="H69" s="62">
        <v>-1484.86</v>
      </c>
      <c r="I69" s="62">
        <v>-1484.86</v>
      </c>
      <c r="J69" s="58" t="s">
        <v>343</v>
      </c>
      <c r="K69" s="59">
        <v>1</v>
      </c>
    </row>
    <row r="70" spans="1:11" ht="15" customHeight="1" x14ac:dyDescent="0.35">
      <c r="A70" s="58" t="s">
        <v>170</v>
      </c>
      <c r="B70" s="59">
        <v>30014318</v>
      </c>
      <c r="C70" s="59">
        <v>30003760</v>
      </c>
      <c r="D70" s="60">
        <v>46143</v>
      </c>
      <c r="E70" s="61" t="s">
        <v>348</v>
      </c>
      <c r="F70" s="61" t="s">
        <v>40</v>
      </c>
      <c r="G70" s="58" t="s">
        <v>34</v>
      </c>
      <c r="H70" s="62">
        <v>-607.37416666700005</v>
      </c>
      <c r="I70" s="62">
        <v>0</v>
      </c>
      <c r="J70" s="58" t="s">
        <v>343</v>
      </c>
      <c r="K70" s="59">
        <v>1</v>
      </c>
    </row>
    <row r="71" spans="1:11" ht="15" customHeight="1" x14ac:dyDescent="0.35">
      <c r="A71" s="58" t="s">
        <v>137</v>
      </c>
      <c r="B71" s="59">
        <v>30017209</v>
      </c>
      <c r="C71" s="59">
        <v>30005426</v>
      </c>
      <c r="D71" s="60">
        <v>46174</v>
      </c>
      <c r="E71" s="61" t="s">
        <v>350</v>
      </c>
      <c r="F71" s="61" t="s">
        <v>40</v>
      </c>
      <c r="G71" s="58" t="s">
        <v>34</v>
      </c>
      <c r="H71" s="62">
        <v>-937.62</v>
      </c>
      <c r="I71" s="62"/>
      <c r="J71" s="58" t="s">
        <v>343</v>
      </c>
      <c r="K71" s="59">
        <v>1</v>
      </c>
    </row>
    <row r="72" spans="1:11" ht="15" customHeight="1" x14ac:dyDescent="0.35">
      <c r="A72" s="58" t="s">
        <v>119</v>
      </c>
      <c r="B72" s="59">
        <v>30019380</v>
      </c>
      <c r="C72" s="59">
        <v>30006286</v>
      </c>
      <c r="D72" s="60">
        <v>46174</v>
      </c>
      <c r="E72" s="61" t="s">
        <v>350</v>
      </c>
      <c r="F72" s="61" t="s">
        <v>40</v>
      </c>
      <c r="G72" s="58" t="s">
        <v>34</v>
      </c>
      <c r="H72" s="62">
        <v>-1070</v>
      </c>
      <c r="I72" s="62"/>
      <c r="J72" s="58" t="s">
        <v>343</v>
      </c>
      <c r="K72" s="59">
        <v>1</v>
      </c>
    </row>
    <row r="73" spans="1:11" ht="15" customHeight="1" x14ac:dyDescent="0.35">
      <c r="A73" s="68" t="s">
        <v>167</v>
      </c>
      <c r="B73" s="69">
        <v>30016676</v>
      </c>
      <c r="C73" s="69">
        <v>30005063</v>
      </c>
      <c r="D73" s="70">
        <v>46023</v>
      </c>
      <c r="E73" s="71" t="s">
        <v>345</v>
      </c>
      <c r="F73" s="71" t="s">
        <v>40</v>
      </c>
      <c r="G73" s="68" t="s">
        <v>34</v>
      </c>
      <c r="H73" s="72">
        <v>0</v>
      </c>
      <c r="I73" s="72">
        <v>0</v>
      </c>
      <c r="J73" s="68" t="s">
        <v>347</v>
      </c>
      <c r="K73" s="69">
        <v>1</v>
      </c>
    </row>
    <row r="74" spans="1:11" ht="15" customHeight="1" x14ac:dyDescent="0.35">
      <c r="A74" s="58" t="s">
        <v>167</v>
      </c>
      <c r="B74" s="59">
        <v>30016676</v>
      </c>
      <c r="C74" s="59">
        <v>30005063</v>
      </c>
      <c r="D74" s="60">
        <v>46023</v>
      </c>
      <c r="E74" s="61" t="s">
        <v>345</v>
      </c>
      <c r="F74" s="61" t="s">
        <v>40</v>
      </c>
      <c r="G74" s="58" t="s">
        <v>34</v>
      </c>
      <c r="H74" s="62">
        <v>-620.27</v>
      </c>
      <c r="I74" s="62">
        <v>0</v>
      </c>
      <c r="J74" s="58" t="s">
        <v>343</v>
      </c>
      <c r="K74" s="59">
        <v>0</v>
      </c>
    </row>
    <row r="75" spans="1:11" ht="15" customHeight="1" x14ac:dyDescent="0.35">
      <c r="A75" s="58" t="s">
        <v>52</v>
      </c>
      <c r="B75" s="59">
        <v>30013024</v>
      </c>
      <c r="C75" s="59">
        <v>30003254</v>
      </c>
      <c r="D75" s="60">
        <v>46054</v>
      </c>
      <c r="E75" s="61" t="s">
        <v>342</v>
      </c>
      <c r="F75" s="61" t="s">
        <v>40</v>
      </c>
      <c r="G75" s="58" t="s">
        <v>19</v>
      </c>
      <c r="H75" s="62">
        <v>-3498.84</v>
      </c>
      <c r="I75" s="62">
        <v>0</v>
      </c>
      <c r="J75" s="58" t="s">
        <v>343</v>
      </c>
      <c r="K75" s="59">
        <v>1</v>
      </c>
    </row>
    <row r="76" spans="1:11" ht="15" customHeight="1" x14ac:dyDescent="0.35">
      <c r="A76" s="63" t="s">
        <v>52</v>
      </c>
      <c r="B76" s="64">
        <v>30013024</v>
      </c>
      <c r="C76" s="64">
        <v>30003254</v>
      </c>
      <c r="D76" s="65">
        <v>46054</v>
      </c>
      <c r="E76" s="66" t="s">
        <v>342</v>
      </c>
      <c r="F76" s="66" t="s">
        <v>40</v>
      </c>
      <c r="G76" s="63" t="s">
        <v>19</v>
      </c>
      <c r="H76" s="67">
        <v>381.69</v>
      </c>
      <c r="I76" s="67">
        <v>0</v>
      </c>
      <c r="J76" s="63" t="s">
        <v>344</v>
      </c>
      <c r="K76" s="64">
        <v>0</v>
      </c>
    </row>
    <row r="77" spans="1:11" ht="15" customHeight="1" x14ac:dyDescent="0.35">
      <c r="A77" s="58" t="s">
        <v>153</v>
      </c>
      <c r="B77" s="59">
        <v>30011301</v>
      </c>
      <c r="C77" s="59">
        <v>30002242</v>
      </c>
      <c r="D77" s="60">
        <v>46054</v>
      </c>
      <c r="E77" s="61" t="s">
        <v>342</v>
      </c>
      <c r="F77" s="61" t="s">
        <v>40</v>
      </c>
      <c r="G77" s="58" t="s">
        <v>87</v>
      </c>
      <c r="H77" s="62">
        <v>-777.26</v>
      </c>
      <c r="I77" s="62">
        <v>0</v>
      </c>
      <c r="J77" s="58" t="s">
        <v>343</v>
      </c>
      <c r="K77" s="59">
        <v>1</v>
      </c>
    </row>
    <row r="78" spans="1:11" ht="15" customHeight="1" x14ac:dyDescent="0.35">
      <c r="A78" s="58" t="s">
        <v>130</v>
      </c>
      <c r="B78" s="59">
        <v>30017104</v>
      </c>
      <c r="C78" s="59">
        <v>30005345</v>
      </c>
      <c r="D78" s="60">
        <v>46054</v>
      </c>
      <c r="E78" s="61" t="s">
        <v>342</v>
      </c>
      <c r="F78" s="61" t="s">
        <v>40</v>
      </c>
      <c r="G78" s="58" t="s">
        <v>34</v>
      </c>
      <c r="H78" s="62">
        <v>-1010.94</v>
      </c>
      <c r="I78" s="62">
        <v>0</v>
      </c>
      <c r="J78" s="58" t="s">
        <v>343</v>
      </c>
      <c r="K78" s="59">
        <v>1</v>
      </c>
    </row>
    <row r="79" spans="1:11" ht="15" customHeight="1" x14ac:dyDescent="0.35">
      <c r="A79" s="58" t="s">
        <v>113</v>
      </c>
      <c r="B79" s="59">
        <v>30015247</v>
      </c>
      <c r="C79" s="59">
        <v>30001307</v>
      </c>
      <c r="D79" s="60">
        <v>46054</v>
      </c>
      <c r="E79" s="61" t="s">
        <v>342</v>
      </c>
      <c r="F79" s="61" t="s">
        <v>20</v>
      </c>
      <c r="G79" s="58" t="s">
        <v>87</v>
      </c>
      <c r="H79" s="62">
        <v>-1178.1300000000001</v>
      </c>
      <c r="I79" s="62">
        <v>-1178.1300000000001</v>
      </c>
      <c r="J79" s="58" t="s">
        <v>343</v>
      </c>
      <c r="K79" s="59">
        <v>1</v>
      </c>
    </row>
    <row r="80" spans="1:11" ht="15" customHeight="1" x14ac:dyDescent="0.35">
      <c r="A80" s="58" t="s">
        <v>81</v>
      </c>
      <c r="B80" s="59">
        <v>30010348</v>
      </c>
      <c r="C80" s="59">
        <v>30004593</v>
      </c>
      <c r="D80" s="60">
        <v>46023</v>
      </c>
      <c r="E80" s="61" t="s">
        <v>345</v>
      </c>
      <c r="F80" s="61" t="s">
        <v>40</v>
      </c>
      <c r="G80" s="58" t="s">
        <v>59</v>
      </c>
      <c r="H80" s="62">
        <v>-1875.06</v>
      </c>
      <c r="I80" s="62">
        <v>0</v>
      </c>
      <c r="J80" s="58" t="s">
        <v>343</v>
      </c>
      <c r="K80" s="59">
        <v>1</v>
      </c>
    </row>
    <row r="81" spans="1:11" ht="15" customHeight="1" x14ac:dyDescent="0.35">
      <c r="A81" s="58" t="s">
        <v>17</v>
      </c>
      <c r="B81" s="59">
        <v>30008363</v>
      </c>
      <c r="C81" s="59">
        <v>30001083</v>
      </c>
      <c r="D81" s="60">
        <v>46054</v>
      </c>
      <c r="E81" s="61" t="s">
        <v>342</v>
      </c>
      <c r="F81" s="61" t="s">
        <v>20</v>
      </c>
      <c r="G81" s="58" t="s">
        <v>19</v>
      </c>
      <c r="H81" s="62">
        <v>-1037.7</v>
      </c>
      <c r="I81" s="62">
        <v>-1037.7</v>
      </c>
      <c r="J81" s="58" t="s">
        <v>343</v>
      </c>
      <c r="K81" s="59">
        <v>1</v>
      </c>
    </row>
    <row r="82" spans="1:11" ht="15" customHeight="1" x14ac:dyDescent="0.35">
      <c r="A82" s="58" t="s">
        <v>17</v>
      </c>
      <c r="B82" s="59">
        <v>30008363</v>
      </c>
      <c r="C82" s="59">
        <v>30001083</v>
      </c>
      <c r="D82" s="60">
        <v>46054</v>
      </c>
      <c r="E82" s="61" t="s">
        <v>342</v>
      </c>
      <c r="F82" s="61" t="s">
        <v>20</v>
      </c>
      <c r="G82" s="58" t="s">
        <v>19</v>
      </c>
      <c r="H82" s="62">
        <v>-14561.04</v>
      </c>
      <c r="I82" s="62">
        <v>-14561.04</v>
      </c>
      <c r="J82" s="58" t="s">
        <v>343</v>
      </c>
      <c r="K82" s="59">
        <v>0</v>
      </c>
    </row>
    <row r="83" spans="1:11" ht="15" customHeight="1" x14ac:dyDescent="0.35">
      <c r="A83" s="58" t="s">
        <v>17</v>
      </c>
      <c r="B83" s="59">
        <v>30008363</v>
      </c>
      <c r="C83" s="59">
        <v>30001083</v>
      </c>
      <c r="D83" s="60">
        <v>46143</v>
      </c>
      <c r="E83" s="61" t="s">
        <v>348</v>
      </c>
      <c r="F83" s="61" t="s">
        <v>20</v>
      </c>
      <c r="G83" s="58" t="s">
        <v>19</v>
      </c>
      <c r="H83" s="62">
        <v>-974.4</v>
      </c>
      <c r="I83" s="62">
        <v>-974.4</v>
      </c>
      <c r="J83" s="58" t="s">
        <v>343</v>
      </c>
      <c r="K83" s="59">
        <v>1</v>
      </c>
    </row>
    <row r="84" spans="1:11" ht="15" customHeight="1" x14ac:dyDescent="0.35">
      <c r="A84" s="58" t="s">
        <v>29</v>
      </c>
      <c r="B84" s="59">
        <v>30005436</v>
      </c>
      <c r="C84" s="59">
        <v>30000899</v>
      </c>
      <c r="D84" s="60">
        <v>46054</v>
      </c>
      <c r="E84" s="61" t="s">
        <v>342</v>
      </c>
      <c r="F84" s="61" t="s">
        <v>20</v>
      </c>
      <c r="G84" s="58" t="s">
        <v>19</v>
      </c>
      <c r="H84" s="62">
        <v>-326.45999999999998</v>
      </c>
      <c r="I84" s="62">
        <v>-326.45999999999998</v>
      </c>
      <c r="J84" s="58" t="s">
        <v>343</v>
      </c>
      <c r="K84" s="59">
        <v>1</v>
      </c>
    </row>
    <row r="85" spans="1:11" ht="15" customHeight="1" x14ac:dyDescent="0.35">
      <c r="A85" s="58" t="s">
        <v>29</v>
      </c>
      <c r="B85" s="59">
        <v>30005436</v>
      </c>
      <c r="C85" s="59">
        <v>30000899</v>
      </c>
      <c r="D85" s="60">
        <v>46143</v>
      </c>
      <c r="E85" s="61" t="s">
        <v>348</v>
      </c>
      <c r="F85" s="61" t="s">
        <v>20</v>
      </c>
      <c r="G85" s="58" t="s">
        <v>19</v>
      </c>
      <c r="H85" s="62">
        <v>-6206.52</v>
      </c>
      <c r="I85" s="62">
        <v>-6206.52</v>
      </c>
      <c r="J85" s="58" t="s">
        <v>343</v>
      </c>
      <c r="K85" s="59">
        <v>1</v>
      </c>
    </row>
    <row r="86" spans="1:11" ht="15" customHeight="1" x14ac:dyDescent="0.35">
      <c r="A86" s="58" t="s">
        <v>151</v>
      </c>
      <c r="B86" s="59">
        <v>30017565</v>
      </c>
      <c r="C86" s="59">
        <v>30005685</v>
      </c>
      <c r="D86" s="60">
        <v>46054</v>
      </c>
      <c r="E86" s="61" t="s">
        <v>342</v>
      </c>
      <c r="F86" s="61" t="s">
        <v>20</v>
      </c>
      <c r="G86" s="58" t="s">
        <v>87</v>
      </c>
      <c r="H86" s="62">
        <v>-810.33</v>
      </c>
      <c r="I86" s="62">
        <v>-810.33</v>
      </c>
      <c r="J86" s="58" t="s">
        <v>343</v>
      </c>
      <c r="K86" s="59">
        <v>1</v>
      </c>
    </row>
    <row r="87" spans="1:11" ht="15" customHeight="1" x14ac:dyDescent="0.35">
      <c r="A87" s="58" t="s">
        <v>123</v>
      </c>
      <c r="B87" s="59">
        <v>30011397</v>
      </c>
      <c r="C87" s="59">
        <v>30002281</v>
      </c>
      <c r="D87" s="60">
        <v>46174</v>
      </c>
      <c r="E87" s="61" t="s">
        <v>350</v>
      </c>
      <c r="F87" s="61" t="s">
        <v>40</v>
      </c>
      <c r="G87" s="58" t="s">
        <v>34</v>
      </c>
      <c r="H87" s="62">
        <v>-1067.58</v>
      </c>
      <c r="I87" s="62"/>
      <c r="J87" s="58" t="s">
        <v>343</v>
      </c>
      <c r="K87" s="59">
        <v>1</v>
      </c>
    </row>
    <row r="88" spans="1:11" ht="15" customHeight="1" x14ac:dyDescent="0.35">
      <c r="A88" s="58" t="s">
        <v>156</v>
      </c>
      <c r="B88" s="59">
        <v>30011963</v>
      </c>
      <c r="C88" s="59">
        <v>30002645</v>
      </c>
      <c r="D88" s="60">
        <v>46174</v>
      </c>
      <c r="E88" s="61" t="s">
        <v>350</v>
      </c>
      <c r="F88" s="61" t="s">
        <v>40</v>
      </c>
      <c r="G88" s="58" t="s">
        <v>34</v>
      </c>
      <c r="H88" s="62">
        <v>-772.9</v>
      </c>
      <c r="I88" s="62"/>
      <c r="J88" s="58" t="s">
        <v>343</v>
      </c>
      <c r="K88" s="59">
        <v>1</v>
      </c>
    </row>
    <row r="89" spans="1:11" ht="15" customHeight="1" x14ac:dyDescent="0.35">
      <c r="A89" s="58" t="s">
        <v>74</v>
      </c>
      <c r="B89" s="59">
        <v>30016155</v>
      </c>
      <c r="C89" s="59">
        <v>30004756</v>
      </c>
      <c r="D89" s="60">
        <v>46143</v>
      </c>
      <c r="E89" s="61" t="s">
        <v>348</v>
      </c>
      <c r="F89" s="61" t="s">
        <v>40</v>
      </c>
      <c r="G89" s="58" t="s">
        <v>19</v>
      </c>
      <c r="H89" s="62">
        <v>-2110.81</v>
      </c>
      <c r="I89" s="62">
        <v>0</v>
      </c>
      <c r="J89" s="58" t="s">
        <v>343</v>
      </c>
      <c r="K89" s="59">
        <v>1</v>
      </c>
    </row>
    <row r="90" spans="1:11" ht="15" customHeight="1" x14ac:dyDescent="0.35">
      <c r="A90" s="68" t="s">
        <v>74</v>
      </c>
      <c r="B90" s="69">
        <v>30016155</v>
      </c>
      <c r="C90" s="69">
        <v>30004756</v>
      </c>
      <c r="D90" s="70">
        <v>46143</v>
      </c>
      <c r="E90" s="71" t="s">
        <v>348</v>
      </c>
      <c r="F90" s="71" t="s">
        <v>40</v>
      </c>
      <c r="G90" s="68" t="s">
        <v>59</v>
      </c>
      <c r="H90" s="72">
        <v>0</v>
      </c>
      <c r="I90" s="72">
        <v>0</v>
      </c>
      <c r="J90" s="68" t="s">
        <v>347</v>
      </c>
      <c r="K90" s="69">
        <v>1</v>
      </c>
    </row>
    <row r="91" spans="1:11" ht="15" customHeight="1" x14ac:dyDescent="0.35">
      <c r="A91" s="58" t="s">
        <v>160</v>
      </c>
      <c r="B91" s="59">
        <v>30017869</v>
      </c>
      <c r="C91" s="59">
        <v>30005764</v>
      </c>
      <c r="D91" s="60">
        <v>46174</v>
      </c>
      <c r="E91" s="61" t="s">
        <v>350</v>
      </c>
      <c r="F91" s="61" t="s">
        <v>40</v>
      </c>
      <c r="G91" s="58" t="s">
        <v>34</v>
      </c>
      <c r="H91" s="62">
        <v>-644.79</v>
      </c>
      <c r="I91" s="62"/>
      <c r="J91" s="58" t="s">
        <v>343</v>
      </c>
      <c r="K91" s="59">
        <v>1</v>
      </c>
    </row>
    <row r="92" spans="1:11" ht="15" customHeight="1" x14ac:dyDescent="0.35">
      <c r="A92" s="58" t="s">
        <v>65</v>
      </c>
      <c r="B92" s="59">
        <v>30010916</v>
      </c>
      <c r="C92" s="59">
        <v>30002254</v>
      </c>
      <c r="D92" s="60">
        <v>46174</v>
      </c>
      <c r="E92" s="61" t="s">
        <v>350</v>
      </c>
      <c r="F92" s="61" t="s">
        <v>40</v>
      </c>
      <c r="G92" s="58" t="s">
        <v>19</v>
      </c>
      <c r="H92" s="62">
        <v>-1223.46</v>
      </c>
      <c r="I92" s="62"/>
      <c r="J92" s="58" t="s">
        <v>343</v>
      </c>
      <c r="K92" s="59">
        <v>1</v>
      </c>
    </row>
    <row r="93" spans="1:11" ht="15" customHeight="1" x14ac:dyDescent="0.35">
      <c r="A93" s="58" t="s">
        <v>65</v>
      </c>
      <c r="B93" s="59">
        <v>30010916</v>
      </c>
      <c r="C93" s="59">
        <v>30002254</v>
      </c>
      <c r="D93" s="60">
        <v>46174</v>
      </c>
      <c r="E93" s="61" t="s">
        <v>350</v>
      </c>
      <c r="F93" s="61" t="s">
        <v>40</v>
      </c>
      <c r="G93" s="58" t="s">
        <v>19</v>
      </c>
      <c r="H93" s="62">
        <v>-1020</v>
      </c>
      <c r="I93" s="62"/>
      <c r="J93" s="58" t="s">
        <v>343</v>
      </c>
      <c r="K93" s="59">
        <v>0</v>
      </c>
    </row>
  </sheetData>
  <autoFilter ref="A4:K93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"/>
  <sheetViews>
    <sheetView zoomScaleNormal="100" workbookViewId="0"/>
  </sheetViews>
  <sheetFormatPr defaultColWidth="8.7265625" defaultRowHeight="14.5" x14ac:dyDescent="0.35"/>
  <cols>
    <col min="1" max="10" width="16" customWidth="1"/>
  </cols>
  <sheetData>
    <row r="1" spans="1:10" ht="18" customHeight="1" x14ac:dyDescent="0.4">
      <c r="A1" s="2" t="s">
        <v>351</v>
      </c>
    </row>
    <row r="2" spans="1:10" ht="15" customHeight="1" x14ac:dyDescent="0.35">
      <c r="A2" s="3" t="s">
        <v>352</v>
      </c>
    </row>
    <row r="4" spans="1:10" ht="30" customHeight="1" x14ac:dyDescent="0.35">
      <c r="A4" s="4" t="s">
        <v>337</v>
      </c>
      <c r="B4" s="4" t="s">
        <v>353</v>
      </c>
      <c r="C4" s="4" t="s">
        <v>299</v>
      </c>
      <c r="D4" s="4" t="s">
        <v>300</v>
      </c>
      <c r="E4" s="4" t="s">
        <v>301</v>
      </c>
      <c r="F4" s="4" t="s">
        <v>354</v>
      </c>
      <c r="G4" s="4" t="s">
        <v>20</v>
      </c>
      <c r="H4" s="4" t="s">
        <v>40</v>
      </c>
      <c r="I4" s="4" t="s">
        <v>355</v>
      </c>
      <c r="J4" s="4" t="s">
        <v>356</v>
      </c>
    </row>
    <row r="5" spans="1:10" ht="15" customHeight="1" x14ac:dyDescent="0.35">
      <c r="A5" s="73" t="s">
        <v>83</v>
      </c>
      <c r="B5" s="74">
        <v>4815.29</v>
      </c>
      <c r="C5" s="74">
        <v>3301.64</v>
      </c>
      <c r="D5" s="74">
        <v>225.32499999999899</v>
      </c>
      <c r="E5" s="74">
        <v>-4985.29</v>
      </c>
      <c r="F5" s="74">
        <v>0.18166666633425199</v>
      </c>
      <c r="G5" s="74">
        <v>-1693.5216666670001</v>
      </c>
      <c r="H5" s="74">
        <v>-5119.17</v>
      </c>
      <c r="I5" s="74">
        <v>1325910.4623666699</v>
      </c>
      <c r="J5" s="75">
        <v>470</v>
      </c>
    </row>
    <row r="6" spans="1:10" ht="15" customHeight="1" x14ac:dyDescent="0.35">
      <c r="A6" s="73" t="s">
        <v>41</v>
      </c>
      <c r="B6" s="74">
        <v>13662.66</v>
      </c>
      <c r="C6" s="74">
        <v>10796.99</v>
      </c>
      <c r="D6" s="74">
        <v>1889.36916666667</v>
      </c>
      <c r="E6" s="74">
        <v>0</v>
      </c>
      <c r="F6" s="74">
        <v>0.16000000000005299</v>
      </c>
      <c r="G6" s="74">
        <v>-22881.82</v>
      </c>
      <c r="H6" s="74">
        <v>-13233.29</v>
      </c>
      <c r="I6" s="74">
        <v>1320291.60060001</v>
      </c>
      <c r="J6" s="75">
        <v>479</v>
      </c>
    </row>
    <row r="7" spans="1:10" ht="15" customHeight="1" x14ac:dyDescent="0.35">
      <c r="A7" s="73" t="s">
        <v>80</v>
      </c>
      <c r="B7" s="74">
        <v>14361.57</v>
      </c>
      <c r="C7" s="74">
        <v>7665.44</v>
      </c>
      <c r="D7" s="74">
        <v>813.30249999933505</v>
      </c>
      <c r="E7" s="74">
        <v>-818.96</v>
      </c>
      <c r="F7" s="74">
        <v>-2.5579538487363602E-13</v>
      </c>
      <c r="G7" s="74">
        <v>-561.54</v>
      </c>
      <c r="H7" s="74">
        <v>-4069.8697999999999</v>
      </c>
      <c r="I7" s="74">
        <v>1337681.5416333401</v>
      </c>
      <c r="J7" s="75">
        <v>486</v>
      </c>
    </row>
    <row r="8" spans="1:10" ht="15" customHeight="1" x14ac:dyDescent="0.35">
      <c r="A8" s="73" t="s">
        <v>211</v>
      </c>
      <c r="B8" s="74">
        <v>2279.96</v>
      </c>
      <c r="C8" s="74">
        <v>837.9</v>
      </c>
      <c r="D8" s="74">
        <v>-339.75833334566698</v>
      </c>
      <c r="E8" s="74">
        <v>56.41</v>
      </c>
      <c r="F8" s="74">
        <v>1.99999999999818E-2</v>
      </c>
      <c r="G8" s="74">
        <v>0</v>
      </c>
      <c r="H8" s="74">
        <v>-157.28</v>
      </c>
      <c r="I8" s="74">
        <v>1340358.7933</v>
      </c>
      <c r="J8" s="75">
        <v>484</v>
      </c>
    </row>
    <row r="9" spans="1:10" ht="15" customHeight="1" x14ac:dyDescent="0.35">
      <c r="A9" s="73" t="s">
        <v>35</v>
      </c>
      <c r="B9" s="74">
        <v>6849.4</v>
      </c>
      <c r="C9" s="74">
        <v>504.4</v>
      </c>
      <c r="D9" s="74">
        <v>6940.9251999993303</v>
      </c>
      <c r="E9" s="74">
        <v>391.44</v>
      </c>
      <c r="F9" s="74">
        <v>0</v>
      </c>
      <c r="G9" s="74">
        <v>-12235.12</v>
      </c>
      <c r="H9" s="74">
        <v>-13849.484166667</v>
      </c>
      <c r="I9" s="74">
        <v>1328960.3543333299</v>
      </c>
      <c r="J9" s="75">
        <v>487</v>
      </c>
    </row>
    <row r="10" spans="1:10" ht="15" customHeight="1" x14ac:dyDescent="0.35">
      <c r="A10" s="73" t="s">
        <v>26</v>
      </c>
      <c r="B10" s="74">
        <v>2931.66</v>
      </c>
      <c r="C10" s="74">
        <v>3088.12</v>
      </c>
      <c r="D10" s="74">
        <v>0</v>
      </c>
      <c r="E10" s="74">
        <v>-391.44</v>
      </c>
      <c r="F10" s="74">
        <v>0</v>
      </c>
      <c r="G10" s="74">
        <v>-16259.92</v>
      </c>
      <c r="H10" s="74">
        <v>-18501.310000000001</v>
      </c>
      <c r="I10" s="74">
        <v>1299827.46433333</v>
      </c>
      <c r="J10" s="75">
        <v>484</v>
      </c>
    </row>
    <row r="11" spans="1:10" ht="15" customHeight="1" x14ac:dyDescent="0.35">
      <c r="A11" s="45" t="s">
        <v>304</v>
      </c>
      <c r="B11" s="76">
        <f t="shared" ref="B11:I11" si="0">SUM(B5:B10)</f>
        <v>44900.540000000008</v>
      </c>
      <c r="C11" s="76">
        <f t="shared" si="0"/>
        <v>26194.49</v>
      </c>
      <c r="D11" s="76">
        <f t="shared" si="0"/>
        <v>9529.1635333196682</v>
      </c>
      <c r="E11" s="76">
        <f t="shared" si="0"/>
        <v>-5747.84</v>
      </c>
      <c r="F11" s="76">
        <f t="shared" si="0"/>
        <v>0.361666666334031</v>
      </c>
      <c r="G11" s="76">
        <f t="shared" si="0"/>
        <v>-53631.921666666996</v>
      </c>
      <c r="H11" s="76">
        <f t="shared" si="0"/>
        <v>-54930.403966667</v>
      </c>
      <c r="I11" s="76">
        <f t="shared" si="0"/>
        <v>7953030.2165666809</v>
      </c>
    </row>
    <row r="12" spans="1:10" ht="15" customHeight="1" x14ac:dyDescent="0.35">
      <c r="A12" s="3" t="s">
        <v>357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Consolidado</vt:lpstr>
      <vt:lpstr>Analises</vt:lpstr>
      <vt:lpstr>Base_Tratada</vt:lpstr>
      <vt:lpstr>Dados_Origem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Julio Santos</cp:lastModifiedBy>
  <cp:revision>4</cp:revision>
  <dcterms:created xsi:type="dcterms:W3CDTF">2026-08-20T17:43:53Z</dcterms:created>
  <dcterms:modified xsi:type="dcterms:W3CDTF">2026-09-16T13:29:42Z</dcterms:modified>
  <cp:category/>
  <cp:contentStatus/>
</cp:coreProperties>
</file>