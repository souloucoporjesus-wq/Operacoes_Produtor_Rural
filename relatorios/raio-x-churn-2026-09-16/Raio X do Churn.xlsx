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o.santos\Documents\GitHub\Operacoes_Produtor_Rural\relatorios\raio-x-churn-2026-09-16\"/>
    </mc:Choice>
  </mc:AlternateContent>
  <xr:revisionPtr revIDLastSave="0" documentId="13_ncr:1_{FDFDF7DE-B38D-4397-9678-81ECF0D100CE}" xr6:coauthVersionLast="47" xr6:coauthVersionMax="47" xr10:uidLastSave="{00000000-0000-0000-0000-000000000000}"/>
  <bookViews>
    <workbookView xWindow="1900" yWindow="1900" windowWidth="19200" windowHeight="11170" xr2:uid="{924C60FC-ADE9-44CB-9B66-6C2B3A09595F}"/>
  </bookViews>
  <sheets>
    <sheet name="Resumo" sheetId="8" r:id="rId1"/>
    <sheet name="Churn" sheetId="1" r:id="rId2"/>
    <sheet name="Downsell" sheetId="2" r:id="rId3"/>
    <sheet name="Motivo x Produto" sheetId="3" r:id="rId4"/>
    <sheet name="Mês a mês" sheetId="4" r:id="rId5"/>
    <sheet name="Por cliente" sheetId="5" r:id="rId6"/>
    <sheet name="Movimentação MRR" sheetId="6" r:id="rId7"/>
    <sheet name="Plano de ação" sheetId="7" r:id="rId8"/>
  </sheets>
  <definedNames>
    <definedName name="_xlnm._FilterDatabase" localSheetId="1" hidden="1">Churn!$A$1:$F$40</definedName>
    <definedName name="_xlnm._FilterDatabase" localSheetId="2" hidden="1">Downsell!$A$1:$F$10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3" i="8" l="1"/>
  <c r="B22" i="8"/>
  <c r="B20" i="8"/>
  <c r="B21" i="8" s="1"/>
  <c r="B19" i="8"/>
  <c r="B17" i="8"/>
  <c r="B18" i="8" s="1"/>
  <c r="B16" i="8"/>
  <c r="B14" i="8"/>
  <c r="B11" i="8"/>
  <c r="B10" i="8"/>
  <c r="B9" i="8"/>
  <c r="B8" i="8"/>
  <c r="B7" i="8"/>
  <c r="B6" i="8"/>
  <c r="B5" i="8"/>
  <c r="J9" i="6"/>
  <c r="I9" i="6"/>
  <c r="G8" i="6"/>
  <c r="F8" i="6"/>
  <c r="E8" i="6"/>
  <c r="D8" i="6"/>
  <c r="C8" i="6"/>
  <c r="B8" i="6"/>
  <c r="H7" i="6"/>
  <c r="H6" i="6"/>
  <c r="H5" i="6"/>
  <c r="H4" i="6"/>
  <c r="H3" i="6"/>
  <c r="H2" i="6"/>
  <c r="H8" i="6" s="1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C39" i="5" s="1"/>
  <c r="B3" i="5"/>
  <c r="C2" i="5"/>
  <c r="B2" i="5"/>
  <c r="D10" i="4"/>
  <c r="B10" i="4"/>
  <c r="E10" i="4" s="1"/>
  <c r="F10" i="4" s="1"/>
  <c r="E9" i="4"/>
  <c r="F9" i="4" s="1"/>
  <c r="G9" i="4" s="1"/>
  <c r="C9" i="4"/>
  <c r="E8" i="4"/>
  <c r="F8" i="4" s="1"/>
  <c r="G8" i="4" s="1"/>
  <c r="C8" i="4"/>
  <c r="E7" i="4"/>
  <c r="F7" i="4" s="1"/>
  <c r="G7" i="4" s="1"/>
  <c r="C7" i="4"/>
  <c r="E6" i="4"/>
  <c r="F6" i="4" s="1"/>
  <c r="G6" i="4" s="1"/>
  <c r="C6" i="4"/>
  <c r="E5" i="4"/>
  <c r="F5" i="4" s="1"/>
  <c r="G5" i="4" s="1"/>
  <c r="C5" i="4"/>
  <c r="E4" i="4"/>
  <c r="F4" i="4" s="1"/>
  <c r="G4" i="4" s="1"/>
  <c r="C4" i="4"/>
  <c r="C10" i="4" s="1"/>
  <c r="H10" i="3"/>
  <c r="G10" i="3"/>
  <c r="F10" i="3"/>
  <c r="E10" i="3"/>
  <c r="D10" i="3"/>
  <c r="C10" i="3"/>
  <c r="B10" i="3"/>
  <c r="H9" i="3"/>
  <c r="F9" i="3"/>
  <c r="E9" i="3"/>
  <c r="D9" i="3"/>
  <c r="C9" i="3"/>
  <c r="B9" i="3"/>
  <c r="G9" i="3" s="1"/>
  <c r="H8" i="3"/>
  <c r="F8" i="3"/>
  <c r="E8" i="3"/>
  <c r="D8" i="3"/>
  <c r="C8" i="3"/>
  <c r="B8" i="3"/>
  <c r="G8" i="3" s="1"/>
  <c r="H7" i="3"/>
  <c r="F7" i="3"/>
  <c r="E7" i="3"/>
  <c r="D7" i="3"/>
  <c r="G7" i="3" s="1"/>
  <c r="C7" i="3"/>
  <c r="B7" i="3"/>
  <c r="H6" i="3"/>
  <c r="F6" i="3"/>
  <c r="E6" i="3"/>
  <c r="D6" i="3"/>
  <c r="C6" i="3"/>
  <c r="B6" i="3"/>
  <c r="G6" i="3" s="1"/>
  <c r="H5" i="3"/>
  <c r="F5" i="3"/>
  <c r="G5" i="3" s="1"/>
  <c r="E5" i="3"/>
  <c r="D5" i="3"/>
  <c r="C5" i="3"/>
  <c r="B5" i="3"/>
  <c r="H4" i="3"/>
  <c r="H11" i="3" s="1"/>
  <c r="F4" i="3"/>
  <c r="F11" i="3" s="1"/>
  <c r="E4" i="3"/>
  <c r="E11" i="3" s="1"/>
  <c r="D4" i="3"/>
  <c r="D11" i="3" s="1"/>
  <c r="C4" i="3"/>
  <c r="C11" i="3" s="1"/>
  <c r="B4" i="3"/>
  <c r="G4" i="3" s="1"/>
  <c r="F11" i="2"/>
  <c r="F41" i="1"/>
  <c r="G10" i="4" l="1"/>
  <c r="B12" i="8"/>
  <c r="G11" i="3"/>
  <c r="C12" i="3"/>
  <c r="D12" i="3"/>
  <c r="B39" i="5"/>
  <c r="D2" i="5" s="1"/>
  <c r="D12" i="5"/>
  <c r="D24" i="5"/>
  <c r="B11" i="3"/>
  <c r="D15" i="5"/>
  <c r="D27" i="5"/>
  <c r="B15" i="8"/>
  <c r="D7" i="5"/>
  <c r="D19" i="5"/>
  <c r="D31" i="5"/>
  <c r="D23" i="5"/>
  <c r="I10" i="3"/>
  <c r="I8" i="3"/>
  <c r="D11" i="5" l="1"/>
  <c r="D30" i="5"/>
  <c r="D3" i="5"/>
  <c r="D34" i="5"/>
  <c r="D18" i="5"/>
  <c r="D38" i="5"/>
  <c r="D22" i="5"/>
  <c r="D6" i="5"/>
  <c r="D26" i="5"/>
  <c r="I9" i="3"/>
  <c r="G12" i="3"/>
  <c r="D10" i="5"/>
  <c r="D29" i="5"/>
  <c r="D14" i="5"/>
  <c r="D33" i="5"/>
  <c r="D21" i="5"/>
  <c r="D17" i="5"/>
  <c r="B12" i="3"/>
  <c r="D35" i="5"/>
  <c r="I7" i="3"/>
  <c r="D9" i="5"/>
  <c r="D5" i="5"/>
  <c r="D37" i="5"/>
  <c r="I5" i="3"/>
  <c r="D32" i="5"/>
  <c r="D28" i="5"/>
  <c r="D25" i="5"/>
  <c r="I6" i="3"/>
  <c r="D20" i="5"/>
  <c r="D16" i="5"/>
  <c r="D13" i="5"/>
  <c r="F12" i="3"/>
  <c r="I4" i="3"/>
  <c r="D8" i="5"/>
  <c r="D4" i="5"/>
  <c r="D36" i="5"/>
  <c r="E12" i="3"/>
  <c r="I11" i="3" l="1"/>
</calcChain>
</file>

<file path=xl/sharedStrings.xml><?xml version="1.0" encoding="utf-8"?>
<sst xmlns="http://schemas.openxmlformats.org/spreadsheetml/2006/main" count="442" uniqueCount="199">
  <si>
    <t>Cliente</t>
  </si>
  <si>
    <t>Produto</t>
  </si>
  <si>
    <t>Mês</t>
  </si>
  <si>
    <t>Motivo</t>
  </si>
  <si>
    <t>Grupo do motivo</t>
  </si>
  <si>
    <t>Perda (R$)</t>
  </si>
  <si>
    <t>Serios Agropecuária</t>
  </si>
  <si>
    <t>Agrimanager ERP</t>
  </si>
  <si>
    <t>Fev + Mai</t>
  </si>
  <si>
    <t>Troca de ERP</t>
  </si>
  <si>
    <t>Clodoveu Franciosi</t>
  </si>
  <si>
    <t>Jun</t>
  </si>
  <si>
    <t>Serra Bonita Sementes</t>
  </si>
  <si>
    <t>Venda da empresa</t>
  </si>
  <si>
    <t>Encerramento ou venda do negócio</t>
  </si>
  <si>
    <t>3SB Produtos Agrícolas</t>
  </si>
  <si>
    <t>Fev</t>
  </si>
  <si>
    <t>Falta de flexibilidade e automação do AGM</t>
  </si>
  <si>
    <t>Bruno Sanches Toro</t>
  </si>
  <si>
    <t>Gap funcional do produto</t>
  </si>
  <si>
    <t>Claudio Augusto Diniz</t>
  </si>
  <si>
    <t>Mai</t>
  </si>
  <si>
    <t>Baixa adoção / não uso</t>
  </si>
  <si>
    <t>Capacidade operacional do cliente</t>
  </si>
  <si>
    <t>Natalino Bigolin</t>
  </si>
  <si>
    <t>Aliare Cloud</t>
  </si>
  <si>
    <t>Luis Henrique Pazini e outro</t>
  </si>
  <si>
    <t>My Farm ERP</t>
  </si>
  <si>
    <t>Instabilidade do myFarm</t>
  </si>
  <si>
    <t>Zorzetto Assessoria e Consultoria Agronômica</t>
  </si>
  <si>
    <t>Octaviano Raymundo Camargo Silva</t>
  </si>
  <si>
    <t>Falta de mão de obra</t>
  </si>
  <si>
    <t>Valquiria Marcelino Ferreira Abreu</t>
  </si>
  <si>
    <t>Agrimanager Algodoeira</t>
  </si>
  <si>
    <t>Mar</t>
  </si>
  <si>
    <t>Sementes Três Pinheiros Seeds</t>
  </si>
  <si>
    <t>Jan</t>
  </si>
  <si>
    <t>Marcondes Agropecuária</t>
  </si>
  <si>
    <t>Vistra BI</t>
  </si>
  <si>
    <t>Não encontrou valor na solução</t>
  </si>
  <si>
    <t>Capivary Agropastoril</t>
  </si>
  <si>
    <t>Baixa adoção e falta de mão de obra</t>
  </si>
  <si>
    <t>Carlos Alberto Moresco</t>
  </si>
  <si>
    <t>Problemas financeiros</t>
  </si>
  <si>
    <t>Financeiro do cliente</t>
  </si>
  <si>
    <t>Mario Pinto da Silva</t>
  </si>
  <si>
    <t>Flavio Faedo</t>
  </si>
  <si>
    <t>Falta de engajamento com o produto</t>
  </si>
  <si>
    <t>Acassio Teles de Castro</t>
  </si>
  <si>
    <t>Andre Luiz Coelho Guilherme</t>
  </si>
  <si>
    <t>Pedro Alceu Bach</t>
  </si>
  <si>
    <t>Recursos do produto</t>
  </si>
  <si>
    <t>Thiago de Almeida</t>
  </si>
  <si>
    <t>Lucas Bolognini Stracci</t>
  </si>
  <si>
    <t>Roque Cassol</t>
  </si>
  <si>
    <t>Migração para solução própria</t>
  </si>
  <si>
    <t>Fabiano Bergoli Zamberlan</t>
  </si>
  <si>
    <t>Paulo Ricardo Santin</t>
  </si>
  <si>
    <t>Ademir José Comparim</t>
  </si>
  <si>
    <t>Evandro Vilela Barros</t>
  </si>
  <si>
    <t>Rodrigo Konageski</t>
  </si>
  <si>
    <t>Valdir Freier</t>
  </si>
  <si>
    <t>Inadimplência</t>
  </si>
  <si>
    <t>Wagner Eduardo Baldin Pereira</t>
  </si>
  <si>
    <t>Encerramento de atividades</t>
  </si>
  <si>
    <t>Guilherme de Araújo Prediger</t>
  </si>
  <si>
    <t>Rentax Agrosoluções e Serviços Administrativos</t>
  </si>
  <si>
    <t>Paulo Emílio Paludo</t>
  </si>
  <si>
    <t>Carlos Fernando da Silveira Bueno</t>
  </si>
  <si>
    <t>Sem informação</t>
  </si>
  <si>
    <t>Eliana Gasparini Testa</t>
  </si>
  <si>
    <t>Geraldo Augusto Martins Teixeira</t>
  </si>
  <si>
    <t>Leinner Lima Borges</t>
  </si>
  <si>
    <t>Total</t>
  </si>
  <si>
    <t>Redução (R$)</t>
  </si>
  <si>
    <t>Leonardo Luiz Oss</t>
  </si>
  <si>
    <t>Internalização do serviço de BPO</t>
  </si>
  <si>
    <t>Osvaldo Hanisch</t>
  </si>
  <si>
    <t>Reestruturação do quadro de colaboradores</t>
  </si>
  <si>
    <t>Redução de equipe no cliente</t>
  </si>
  <si>
    <t>Dona Ema Agropecuária e Industrial</t>
  </si>
  <si>
    <t>Redução de custos</t>
  </si>
  <si>
    <t>Eduardo Zorzi</t>
  </si>
  <si>
    <t>Marcelo Andre Konageski</t>
  </si>
  <si>
    <t>Redução de colaboradores</t>
  </si>
  <si>
    <t>Mateus Eduardo Gonçalves Viana</t>
  </si>
  <si>
    <t>Cornelio Adriano Sanders e outros</t>
  </si>
  <si>
    <t>Leandro Caiaffa Orcay</t>
  </si>
  <si>
    <t>Renovação sem reajuste do INPC</t>
  </si>
  <si>
    <t>Ediana Edith Boeri</t>
  </si>
  <si>
    <t>Reduções de licenças ou de serviços em clientes que seguem ativos. Clientes que ficaram com uma ou duas licenças por módulo estão na aba Churn.</t>
  </si>
  <si>
    <t>Perda por churn: grupo do motivo por produto</t>
  </si>
  <si>
    <t>Total (R$)</t>
  </si>
  <si>
    <t>Eventos</t>
  </si>
  <si>
    <t>% do total</t>
  </si>
  <si>
    <t>% do total por produto</t>
  </si>
  <si>
    <t>Somas por fórmula a partir da aba Churn (SUMIFS por grupo do motivo e produto).</t>
  </si>
  <si>
    <t>Churn e downsell por mês, contra a referência de mercado</t>
  </si>
  <si>
    <t>Perda por churn (R$)</t>
  </si>
  <si>
    <t>Downsell (R$)</t>
  </si>
  <si>
    <t>MRR base do mês (R$)</t>
  </si>
  <si>
    <t>Churn sobre o MRR</t>
  </si>
  <si>
    <t>Taxa anualizada</t>
  </si>
  <si>
    <t>Situação</t>
  </si>
  <si>
    <t>Abr</t>
  </si>
  <si>
    <t>Semestre</t>
  </si>
  <si>
    <t>Referência de mercado para SaaS de médio porte: entre 10% e 15% de churn ao ano. A situação compara a taxa anualizada do mês com o teto de 15%. Na linha Semestre, a taxa é a perda do semestre sobre o MRR médio, vezes 2.</t>
  </si>
  <si>
    <t>Perda por churn alocada pela competência de faturamento. Serios Agropecuária e Serra Bonita Sementes tiveram eventos em fevereiro e maio e aparecem na aba Churn com os dois meses.</t>
  </si>
  <si>
    <t>MRR base do mês: planilha de origem (Churn Tratado), aba Dados_Origem.</t>
  </si>
  <si>
    <t>% acumulado</t>
  </si>
  <si>
    <t>Clientes em ordem decrescente de perda. Somas por fórmula a partir da aba Churn.</t>
  </si>
  <si>
    <t>Novos clientes (R$)</t>
  </si>
  <si>
    <t>Upsell (R$)</t>
  </si>
  <si>
    <t>Reajuste (R$)</t>
  </si>
  <si>
    <t>Ajustes (R$)</t>
  </si>
  <si>
    <t>Churn (R$)</t>
  </si>
  <si>
    <t>Saldo líquido (R$)</t>
  </si>
  <si>
    <t>MRR base (R$)</t>
  </si>
  <si>
    <t>Clientes na base</t>
  </si>
  <si>
    <t>Média do semestre</t>
  </si>
  <si>
    <t>Valores da planilha de origem (Churn Tratado), aba Dados_Origem. As colunas Downsell e Churn refletem toda a movimentação registrada no faturamento, incluindo ajustes de contrato e correções, por isso diferem das abas Churn e Downsell deste arquivo.</t>
  </si>
  <si>
    <t>Frente</t>
  </si>
  <si>
    <t>Ação</t>
  </si>
  <si>
    <t>Descrição</t>
  </si>
  <si>
    <t>Status</t>
  </si>
  <si>
    <t>Indicador acompanhado</t>
  </si>
  <si>
    <t>Responsável</t>
  </si>
  <si>
    <t>AgriManager, presencial</t>
  </si>
  <si>
    <t>Seis viagens a clientes ao longo do ano</t>
  </si>
  <si>
    <t>Visitas presenciais para entender a operação de cada cliente, mapear oportunidades e antecipar risco de saída. Goiás (região de Formosa; região de Rio Verde e Mineiros), Mato Grosso (Sapezal e região; Sorriso e região), Maranhão (Balsas) e Bahia (região de Luís Eduardo Magalhães).</t>
  </si>
  <si>
    <t>Realizado</t>
  </si>
  <si>
    <t>Clientes visitados, oportunidades geradas e pendências por cliente</t>
  </si>
  <si>
    <t>Gestão com o time de CS</t>
  </si>
  <si>
    <t>Telemetria de produto</t>
  </si>
  <si>
    <t>Reengajar quem não está acessando</t>
  </si>
  <si>
    <t>A telemetria passou a mostrar quem usa e quem não usa. Cliente sem acesso recebe contato do CS, conexão com consultor e horas de treinamento bonificadas para voltar a operar.</t>
  </si>
  <si>
    <t>Em andamento</t>
  </si>
  <si>
    <t>Clientes sem acesso, por semana</t>
  </si>
  <si>
    <t>Time de CS, com os dados de telemetria</t>
  </si>
  <si>
    <t>Pílulas de conhecimento no momento certo da safra</t>
  </si>
  <si>
    <t>Vídeos curtos sobre planejamento de safra, cadastro de talhões, atividades de campo e lançamento de colheita, disparados em massa pelo CS e no aviso de entrada do MyFarm.</t>
  </si>
  <si>
    <t>A iniciar</t>
  </si>
  <si>
    <t>Clientes que passam a usar as telas depois do disparo</t>
  </si>
  <si>
    <t>Consultores gravam, CS dispara, produto avalia o aviso dentro do MyFarm</t>
  </si>
  <si>
    <t>Produto e desenvolvimento</t>
  </si>
  <si>
    <t>Clientes em risco tratados junto com produto</t>
  </si>
  <si>
    <t>Levantar os clientes com a dor mais latente (chamados de erro frequentes, sinais de cancelamento), trazer para perto e dar prioridade na fila de desenvolvimento.</t>
  </si>
  <si>
    <t>Lista de clientes em risco e prazo de resposta de produto para cada um</t>
  </si>
  <si>
    <t>Operações com o time de produto</t>
  </si>
  <si>
    <t>MyFarm</t>
  </si>
  <si>
    <t>Contato ativo com toda a base MyFarm desde 2025</t>
  </si>
  <si>
    <t>Cada cliente que entrou de 2025 para cá recebe contato para entender se usa a ferramenta e se precisa de ajuda. Consultores de projeto sem agenda entram nesse esforço.</t>
  </si>
  <si>
    <t>Clientes contatados por semana e quantos voltaram a usar</t>
  </si>
  <si>
    <t>CS e equipe de projetos</t>
  </si>
  <si>
    <t>AgriManager, remoto</t>
  </si>
  <si>
    <t>Revisitar quem já foi visitado e cobrir o restante por agenda remota</t>
  </si>
  <si>
    <t>Retomar cada cliente das viagens: o que ficou pendente, quais oportunidades surgiram, provas de conceito incluídas, e como está hoje. Para os demais, agendas remotas marcadas pelo CS e conduzidas pela gestão, apresentando a vertical de produtor rural.</t>
  </si>
  <si>
    <t>Clientes revisitados e agendas remotas realizadas</t>
  </si>
  <si>
    <t>CS marca, gestão conduz</t>
  </si>
  <si>
    <t>Janeiro a junho de 2026. Churn confirmado, downsell e indicadores da base.</t>
  </si>
  <si>
    <t>Indicador</t>
  </si>
  <si>
    <t>Valor</t>
  </si>
  <si>
    <t>Base de cálculo</t>
  </si>
  <si>
    <t>Perda por churn</t>
  </si>
  <si>
    <t>Soma da aba Churn</t>
  </si>
  <si>
    <t>Eventos de churn</t>
  </si>
  <si>
    <t>Linhas da aba Churn (cliente x produto)</t>
  </si>
  <si>
    <t>Clientes com churn</t>
  </si>
  <si>
    <t>Clientes distintos na aba Churn</t>
  </si>
  <si>
    <t>Perda por downsell</t>
  </si>
  <si>
    <t>Soma da aba Downsell</t>
  </si>
  <si>
    <t>Eventos de downsell</t>
  </si>
  <si>
    <t>Linhas da aba Downsell</t>
  </si>
  <si>
    <t>Clientes com downsell</t>
  </si>
  <si>
    <t>Clientes distintos na aba Downsell</t>
  </si>
  <si>
    <t>Churn mais downsell</t>
  </si>
  <si>
    <t>Soma dos dois</t>
  </si>
  <si>
    <t>Taxa de churn anualizada</t>
  </si>
  <si>
    <t>Perda do semestre sobre o MRR médio, vezes 2 (aba Mês a mês)</t>
  </si>
  <si>
    <t>Referência de mercado (SaaS de médio porte)</t>
  </si>
  <si>
    <t>entre 10% e 15% ao ano</t>
  </si>
  <si>
    <t>Referência usada na aba Mês a mês</t>
  </si>
  <si>
    <t>Logo churn anualizado</t>
  </si>
  <si>
    <t>Clientes com churn sobre a base média de clientes, vezes 2</t>
  </si>
  <si>
    <t>Concentração nos 10 maiores clientes</t>
  </si>
  <si>
    <t>Dez maiores clientes por perda (aba Por cliente) sobre a perda por churn</t>
  </si>
  <si>
    <t>Ticket médio em janeiro</t>
  </si>
  <si>
    <t>MRR base sobre clientes na base</t>
  </si>
  <si>
    <t>Ticket médio em junho</t>
  </si>
  <si>
    <t>Queda no ticket médio</t>
  </si>
  <si>
    <t>Janeiro contra junho</t>
  </si>
  <si>
    <t>MRR base em janeiro</t>
  </si>
  <si>
    <t>Aba Movimentação MRR</t>
  </si>
  <si>
    <t>MRR base em junho</t>
  </si>
  <si>
    <t>Queda no MRR da base</t>
  </si>
  <si>
    <t>Clientes na base em janeiro</t>
  </si>
  <si>
    <t>Clientes na base em junho</t>
  </si>
  <si>
    <t>Fonte: planilha de origem (Churn Tratado), aba Consolidado para os eventos confirmados de churn e downsell; aba Dados_Origem para MRR e clientes na base. Todos os valores desta aba são fórmulas sobre as demais abas.</t>
  </si>
  <si>
    <t>Análise de Churn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</si>
</sst>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 &quot;#,##0.00;\(&quot;R$ &quot;#,##0.00\)"/>
    <numFmt numFmtId="165" formatCode="0.0%"/>
    <numFmt numFmtId="166" formatCode="0.0"/>
  </numFmts>
  <fonts count="8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i/>
      <sz val="9"/>
      <color rgb="FF595959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sz val="10"/>
      <color rgb="FF59595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164" fontId="1" fillId="0" borderId="0" xfId="0" applyNumberFormat="1" applyFont="1"/>
    <xf numFmtId="164" fontId="2" fillId="0" borderId="0" xfId="0" applyNumberFormat="1" applyFont="1"/>
    <xf numFmtId="0" fontId="4" fillId="0" borderId="0" xfId="0" applyFont="1"/>
    <xf numFmtId="0" fontId="5" fillId="0" borderId="0" xfId="0" applyFont="1"/>
    <xf numFmtId="165" fontId="1" fillId="0" borderId="0" xfId="0" applyNumberFormat="1" applyFont="1"/>
    <xf numFmtId="165" fontId="2" fillId="0" borderId="0" xfId="0" applyNumberFormat="1" applyFont="1"/>
    <xf numFmtId="1" fontId="1" fillId="0" borderId="0" xfId="0" applyNumberFormat="1" applyFont="1"/>
    <xf numFmtId="1" fontId="2" fillId="0" borderId="0" xfId="0" applyNumberFormat="1" applyFont="1"/>
    <xf numFmtId="166" fontId="2" fillId="0" borderId="0" xfId="0" applyNumberFormat="1" applyFont="1"/>
    <xf numFmtId="0" fontId="1" fillId="0" borderId="0" xfId="0" applyFont="1" applyAlignment="1">
      <alignment vertical="top" wrapText="1"/>
    </xf>
    <xf numFmtId="0" fontId="6" fillId="0" borderId="0" xfId="0" applyFont="1"/>
    <xf numFmtId="0" fontId="7" fillId="0" borderId="0" xfId="0" applyFont="1"/>
    <xf numFmtId="164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59BFF-3AB2-49A9-9760-577DC27A4E47}">
  <dimension ref="A1:C25"/>
  <sheetViews>
    <sheetView tabSelected="1" workbookViewId="0"/>
  </sheetViews>
  <sheetFormatPr defaultRowHeight="12.5" x14ac:dyDescent="0.25"/>
  <cols>
    <col min="1" max="1" width="42.6328125" style="1" customWidth="1"/>
    <col min="2" max="2" width="24.6328125" style="1" customWidth="1"/>
    <col min="3" max="3" width="70.6328125" style="1" customWidth="1"/>
    <col min="4" max="16384" width="8.7265625" style="1"/>
  </cols>
  <sheetData>
    <row r="1" spans="1:3" ht="20" x14ac:dyDescent="0.4">
      <c r="A1" s="14" t="s">
        <v>198</v>
      </c>
    </row>
    <row r="2" spans="1:3" x14ac:dyDescent="0.25">
      <c r="A2" s="15" t="s">
        <v>159</v>
      </c>
    </row>
    <row r="4" spans="1:3" ht="13" x14ac:dyDescent="0.25">
      <c r="A4" s="3" t="s">
        <v>160</v>
      </c>
      <c r="B4" s="3" t="s">
        <v>161</v>
      </c>
      <c r="C4" s="3" t="s">
        <v>162</v>
      </c>
    </row>
    <row r="5" spans="1:3" ht="13" x14ac:dyDescent="0.3">
      <c r="A5" s="1" t="s">
        <v>163</v>
      </c>
      <c r="B5" s="20">
        <f>SUM(Churn!F2:F40)</f>
        <v>89646.719999999987</v>
      </c>
      <c r="C5" s="15" t="s">
        <v>164</v>
      </c>
    </row>
    <row r="6" spans="1:3" ht="13" x14ac:dyDescent="0.3">
      <c r="A6" s="1" t="s">
        <v>165</v>
      </c>
      <c r="B6" s="21">
        <f>COUNTA(Churn!A2:A40)</f>
        <v>39</v>
      </c>
      <c r="C6" s="15" t="s">
        <v>166</v>
      </c>
    </row>
    <row r="7" spans="1:3" ht="13" x14ac:dyDescent="0.3">
      <c r="A7" s="1" t="s">
        <v>167</v>
      </c>
      <c r="B7" s="21">
        <f>SUMPRODUCT(1/COUNTIF(Churn!A2:A40,Churn!A2:A40))</f>
        <v>37</v>
      </c>
      <c r="C7" s="15" t="s">
        <v>168</v>
      </c>
    </row>
    <row r="8" spans="1:3" ht="13" x14ac:dyDescent="0.3">
      <c r="A8" s="1" t="s">
        <v>169</v>
      </c>
      <c r="B8" s="20">
        <f>SUM(Downsell!F2:F10)</f>
        <v>9365.7999999999993</v>
      </c>
      <c r="C8" s="15" t="s">
        <v>170</v>
      </c>
    </row>
    <row r="9" spans="1:3" x14ac:dyDescent="0.25">
      <c r="A9" s="1" t="s">
        <v>171</v>
      </c>
      <c r="B9" s="17">
        <f>COUNTA(Downsell!A2:A10)</f>
        <v>9</v>
      </c>
      <c r="C9" s="15" t="s">
        <v>172</v>
      </c>
    </row>
    <row r="10" spans="1:3" x14ac:dyDescent="0.25">
      <c r="A10" s="1" t="s">
        <v>173</v>
      </c>
      <c r="B10" s="17">
        <f>SUMPRODUCT(1/COUNTIF(Downsell!A2:A10,Downsell!A2:A10))</f>
        <v>9</v>
      </c>
      <c r="C10" s="15" t="s">
        <v>174</v>
      </c>
    </row>
    <row r="11" spans="1:3" ht="13" x14ac:dyDescent="0.3">
      <c r="A11" s="1" t="s">
        <v>175</v>
      </c>
      <c r="B11" s="20">
        <f>B5+B8</f>
        <v>99012.51999999999</v>
      </c>
      <c r="C11" s="15" t="s">
        <v>176</v>
      </c>
    </row>
    <row r="12" spans="1:3" ht="13" x14ac:dyDescent="0.3">
      <c r="A12" s="1" t="s">
        <v>177</v>
      </c>
      <c r="B12" s="22">
        <f>'Mês a mês'!F10</f>
        <v>0.13526424654581601</v>
      </c>
      <c r="C12" s="15" t="s">
        <v>178</v>
      </c>
    </row>
    <row r="13" spans="1:3" x14ac:dyDescent="0.25">
      <c r="A13" s="1" t="s">
        <v>179</v>
      </c>
      <c r="B13" s="19" t="s">
        <v>180</v>
      </c>
      <c r="C13" s="15" t="s">
        <v>181</v>
      </c>
    </row>
    <row r="14" spans="1:3" x14ac:dyDescent="0.25">
      <c r="A14" s="1" t="s">
        <v>182</v>
      </c>
      <c r="B14" s="18">
        <f>B7/'Movimentação MRR'!J9*2</f>
        <v>0.15363321799307958</v>
      </c>
      <c r="C14" s="15" t="s">
        <v>183</v>
      </c>
    </row>
    <row r="15" spans="1:3" x14ac:dyDescent="0.25">
      <c r="A15" s="1" t="s">
        <v>184</v>
      </c>
      <c r="B15" s="18">
        <f>SUMPRODUCT(LARGE('Por cliente'!B2:B38,{1,2,3,4,5,6,7,8,9,10}))/B5</f>
        <v>0.69373357999043372</v>
      </c>
      <c r="C15" s="15" t="s">
        <v>185</v>
      </c>
    </row>
    <row r="16" spans="1:3" x14ac:dyDescent="0.25">
      <c r="A16" s="1" t="s">
        <v>186</v>
      </c>
      <c r="B16" s="16">
        <f>'Movimentação MRR'!I2/'Movimentação MRR'!J2</f>
        <v>2821.0860901418509</v>
      </c>
      <c r="C16" s="15" t="s">
        <v>187</v>
      </c>
    </row>
    <row r="17" spans="1:3" x14ac:dyDescent="0.25">
      <c r="A17" s="1" t="s">
        <v>188</v>
      </c>
      <c r="B17" s="16">
        <f>'Movimentação MRR'!I7/'Movimentação MRR'!J7</f>
        <v>2685.5939345729957</v>
      </c>
      <c r="C17" s="15" t="s">
        <v>187</v>
      </c>
    </row>
    <row r="18" spans="1:3" x14ac:dyDescent="0.25">
      <c r="A18" s="1" t="s">
        <v>189</v>
      </c>
      <c r="B18" s="18">
        <f>1-B17/B16</f>
        <v>4.8028366111309451E-2</v>
      </c>
      <c r="C18" s="15" t="s">
        <v>190</v>
      </c>
    </row>
    <row r="19" spans="1:3" x14ac:dyDescent="0.25">
      <c r="A19" s="1" t="s">
        <v>191</v>
      </c>
      <c r="B19" s="16">
        <f>'Movimentação MRR'!I2</f>
        <v>1325910.4623666699</v>
      </c>
      <c r="C19" s="15" t="s">
        <v>192</v>
      </c>
    </row>
    <row r="20" spans="1:3" x14ac:dyDescent="0.25">
      <c r="A20" s="1" t="s">
        <v>193</v>
      </c>
      <c r="B20" s="16">
        <f>'Movimentação MRR'!I7</f>
        <v>1299827.46433333</v>
      </c>
      <c r="C20" s="15" t="s">
        <v>192</v>
      </c>
    </row>
    <row r="21" spans="1:3" x14ac:dyDescent="0.25">
      <c r="A21" s="1" t="s">
        <v>194</v>
      </c>
      <c r="B21" s="18">
        <f>1-B20/B19</f>
        <v>1.9671764250795087E-2</v>
      </c>
      <c r="C21" s="15" t="s">
        <v>190</v>
      </c>
    </row>
    <row r="22" spans="1:3" x14ac:dyDescent="0.25">
      <c r="A22" s="1" t="s">
        <v>195</v>
      </c>
      <c r="B22" s="17">
        <f>'Movimentação MRR'!J2</f>
        <v>470</v>
      </c>
      <c r="C22" s="15" t="s">
        <v>192</v>
      </c>
    </row>
    <row r="23" spans="1:3" x14ac:dyDescent="0.25">
      <c r="A23" s="1" t="s">
        <v>196</v>
      </c>
      <c r="B23" s="17">
        <f>'Movimentação MRR'!J7</f>
        <v>484</v>
      </c>
      <c r="C23" s="15" t="s">
        <v>192</v>
      </c>
    </row>
    <row r="25" spans="1:3" ht="13" x14ac:dyDescent="0.3">
      <c r="A25" s="6" t="s">
        <v>197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A0FC0-D12D-4B3F-BA40-342B2CACA16A}">
  <dimension ref="A1:F41"/>
  <sheetViews>
    <sheetView workbookViewId="0">
      <pane ySplit="1" topLeftCell="A2" activePane="bottomLeft" state="frozen"/>
      <selection pane="bottomLeft" activeCell="A2" sqref="A2"/>
    </sheetView>
  </sheetViews>
  <sheetFormatPr defaultRowHeight="12.5" x14ac:dyDescent="0.25"/>
  <cols>
    <col min="1" max="1" width="44.6328125" style="1" customWidth="1"/>
    <col min="2" max="2" width="22.6328125" style="1" customWidth="1"/>
    <col min="3" max="3" width="11.6328125" style="1" customWidth="1"/>
    <col min="4" max="4" width="40.6328125" style="1" customWidth="1"/>
    <col min="5" max="5" width="32.6328125" style="1" customWidth="1"/>
    <col min="6" max="6" width="16.6328125" style="1" customWidth="1"/>
    <col min="7" max="16384" width="8.7265625" style="1"/>
  </cols>
  <sheetData>
    <row r="1" spans="1:6" ht="1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9</v>
      </c>
      <c r="F2" s="4">
        <v>16573.14</v>
      </c>
    </row>
    <row r="3" spans="1:6" x14ac:dyDescent="0.25">
      <c r="A3" s="1" t="s">
        <v>10</v>
      </c>
      <c r="B3" s="1" t="s">
        <v>7</v>
      </c>
      <c r="C3" s="1" t="s">
        <v>11</v>
      </c>
      <c r="D3" s="1" t="s">
        <v>9</v>
      </c>
      <c r="E3" s="1" t="s">
        <v>9</v>
      </c>
      <c r="F3" s="4">
        <v>13701.65</v>
      </c>
    </row>
    <row r="4" spans="1:6" x14ac:dyDescent="0.25">
      <c r="A4" s="1" t="s">
        <v>12</v>
      </c>
      <c r="B4" s="1" t="s">
        <v>7</v>
      </c>
      <c r="C4" s="1" t="s">
        <v>8</v>
      </c>
      <c r="D4" s="1" t="s">
        <v>13</v>
      </c>
      <c r="E4" s="1" t="s">
        <v>14</v>
      </c>
      <c r="F4" s="4">
        <v>6532.98</v>
      </c>
    </row>
    <row r="5" spans="1:6" x14ac:dyDescent="0.25">
      <c r="A5" s="1" t="s">
        <v>15</v>
      </c>
      <c r="B5" s="1" t="s">
        <v>7</v>
      </c>
      <c r="C5" s="1" t="s">
        <v>16</v>
      </c>
      <c r="D5" s="1" t="s">
        <v>17</v>
      </c>
      <c r="E5" s="1" t="s">
        <v>1</v>
      </c>
      <c r="F5" s="4">
        <v>4170.46</v>
      </c>
    </row>
    <row r="6" spans="1:6" x14ac:dyDescent="0.25">
      <c r="A6" s="1" t="s">
        <v>18</v>
      </c>
      <c r="B6" s="1" t="s">
        <v>7</v>
      </c>
      <c r="C6" s="1" t="s">
        <v>11</v>
      </c>
      <c r="D6" s="1" t="s">
        <v>19</v>
      </c>
      <c r="E6" s="1" t="s">
        <v>1</v>
      </c>
      <c r="F6" s="4">
        <v>4010.69</v>
      </c>
    </row>
    <row r="7" spans="1:6" x14ac:dyDescent="0.25">
      <c r="A7" s="1" t="s">
        <v>20</v>
      </c>
      <c r="B7" s="1" t="s">
        <v>7</v>
      </c>
      <c r="C7" s="1" t="s">
        <v>21</v>
      </c>
      <c r="D7" s="1" t="s">
        <v>22</v>
      </c>
      <c r="E7" s="1" t="s">
        <v>23</v>
      </c>
      <c r="F7" s="4">
        <v>3408.4</v>
      </c>
    </row>
    <row r="8" spans="1:6" x14ac:dyDescent="0.25">
      <c r="A8" s="1" t="s">
        <v>24</v>
      </c>
      <c r="B8" s="1" t="s">
        <v>25</v>
      </c>
      <c r="C8" s="1" t="s">
        <v>21</v>
      </c>
      <c r="D8" s="1" t="s">
        <v>19</v>
      </c>
      <c r="E8" s="1" t="s">
        <v>1</v>
      </c>
      <c r="F8" s="4">
        <v>3046.65</v>
      </c>
    </row>
    <row r="9" spans="1:6" x14ac:dyDescent="0.25">
      <c r="A9" s="1" t="s">
        <v>26</v>
      </c>
      <c r="B9" s="1" t="s">
        <v>27</v>
      </c>
      <c r="C9" s="1" t="s">
        <v>21</v>
      </c>
      <c r="D9" s="1" t="s">
        <v>28</v>
      </c>
      <c r="E9" s="1" t="s">
        <v>1</v>
      </c>
      <c r="F9" s="4">
        <v>2775.55</v>
      </c>
    </row>
    <row r="10" spans="1:6" x14ac:dyDescent="0.25">
      <c r="A10" s="1" t="s">
        <v>29</v>
      </c>
      <c r="B10" s="1" t="s">
        <v>7</v>
      </c>
      <c r="C10" s="1" t="s">
        <v>11</v>
      </c>
      <c r="D10" s="1" t="s">
        <v>9</v>
      </c>
      <c r="E10" s="1" t="s">
        <v>9</v>
      </c>
      <c r="F10" s="4">
        <v>2243.46</v>
      </c>
    </row>
    <row r="11" spans="1:6" x14ac:dyDescent="0.25">
      <c r="A11" s="1" t="s">
        <v>30</v>
      </c>
      <c r="B11" s="1" t="s">
        <v>7</v>
      </c>
      <c r="C11" s="1" t="s">
        <v>11</v>
      </c>
      <c r="D11" s="1" t="s">
        <v>31</v>
      </c>
      <c r="E11" s="1" t="s">
        <v>23</v>
      </c>
      <c r="F11" s="4">
        <v>2150.61</v>
      </c>
    </row>
    <row r="12" spans="1:6" x14ac:dyDescent="0.25">
      <c r="A12" s="1" t="s">
        <v>32</v>
      </c>
      <c r="B12" s="1" t="s">
        <v>7</v>
      </c>
      <c r="C12" s="1" t="s">
        <v>21</v>
      </c>
      <c r="D12" s="1" t="s">
        <v>9</v>
      </c>
      <c r="E12" s="1" t="s">
        <v>9</v>
      </c>
      <c r="F12" s="4">
        <v>2110.81</v>
      </c>
    </row>
    <row r="13" spans="1:6" x14ac:dyDescent="0.25">
      <c r="A13" s="1" t="s">
        <v>10</v>
      </c>
      <c r="B13" s="1" t="s">
        <v>33</v>
      </c>
      <c r="C13" s="1" t="s">
        <v>34</v>
      </c>
      <c r="D13" s="1" t="s">
        <v>9</v>
      </c>
      <c r="E13" s="1" t="s">
        <v>9</v>
      </c>
      <c r="F13" s="4">
        <v>1926.99</v>
      </c>
    </row>
    <row r="14" spans="1:6" x14ac:dyDescent="0.25">
      <c r="A14" s="1" t="s">
        <v>35</v>
      </c>
      <c r="B14" s="1" t="s">
        <v>25</v>
      </c>
      <c r="C14" s="1" t="s">
        <v>36</v>
      </c>
      <c r="D14" s="1" t="s">
        <v>9</v>
      </c>
      <c r="E14" s="1" t="s">
        <v>9</v>
      </c>
      <c r="F14" s="4">
        <v>1875.06</v>
      </c>
    </row>
    <row r="15" spans="1:6" x14ac:dyDescent="0.25">
      <c r="A15" s="1" t="s">
        <v>37</v>
      </c>
      <c r="B15" s="1" t="s">
        <v>38</v>
      </c>
      <c r="C15" s="1" t="s">
        <v>16</v>
      </c>
      <c r="D15" s="1" t="s">
        <v>39</v>
      </c>
      <c r="E15" s="1" t="s">
        <v>1</v>
      </c>
      <c r="F15" s="4">
        <v>1865.58</v>
      </c>
    </row>
    <row r="16" spans="1:6" x14ac:dyDescent="0.25">
      <c r="A16" s="1" t="s">
        <v>40</v>
      </c>
      <c r="B16" s="1" t="s">
        <v>7</v>
      </c>
      <c r="C16" s="1" t="s">
        <v>36</v>
      </c>
      <c r="D16" s="1" t="s">
        <v>41</v>
      </c>
      <c r="E16" s="1" t="s">
        <v>23</v>
      </c>
      <c r="F16" s="4">
        <v>1657.47</v>
      </c>
    </row>
    <row r="17" spans="1:6" x14ac:dyDescent="0.25">
      <c r="A17" s="1" t="s">
        <v>42</v>
      </c>
      <c r="B17" s="1" t="s">
        <v>38</v>
      </c>
      <c r="C17" s="1" t="s">
        <v>16</v>
      </c>
      <c r="D17" s="1" t="s">
        <v>43</v>
      </c>
      <c r="E17" s="1" t="s">
        <v>44</v>
      </c>
      <c r="F17" s="4">
        <v>1655.56</v>
      </c>
    </row>
    <row r="18" spans="1:6" x14ac:dyDescent="0.25">
      <c r="A18" s="1" t="s">
        <v>18</v>
      </c>
      <c r="B18" s="1" t="s">
        <v>25</v>
      </c>
      <c r="C18" s="1" t="s">
        <v>11</v>
      </c>
      <c r="D18" s="1" t="s">
        <v>43</v>
      </c>
      <c r="E18" s="1" t="s">
        <v>44</v>
      </c>
      <c r="F18" s="4">
        <v>1650.36</v>
      </c>
    </row>
    <row r="19" spans="1:6" x14ac:dyDescent="0.25">
      <c r="A19" s="1" t="s">
        <v>45</v>
      </c>
      <c r="B19" s="1" t="s">
        <v>27</v>
      </c>
      <c r="C19" s="1" t="s">
        <v>11</v>
      </c>
      <c r="D19" s="1" t="s">
        <v>19</v>
      </c>
      <c r="E19" s="1" t="s">
        <v>1</v>
      </c>
      <c r="F19" s="4">
        <v>1327.99</v>
      </c>
    </row>
    <row r="20" spans="1:6" x14ac:dyDescent="0.25">
      <c r="A20" s="1" t="s">
        <v>46</v>
      </c>
      <c r="B20" s="1" t="s">
        <v>27</v>
      </c>
      <c r="C20" s="1" t="s">
        <v>16</v>
      </c>
      <c r="D20" s="1" t="s">
        <v>47</v>
      </c>
      <c r="E20" s="1" t="s">
        <v>1</v>
      </c>
      <c r="F20" s="4">
        <v>1201.82</v>
      </c>
    </row>
    <row r="21" spans="1:6" x14ac:dyDescent="0.25">
      <c r="A21" s="1" t="s">
        <v>48</v>
      </c>
      <c r="B21" s="1" t="s">
        <v>27</v>
      </c>
      <c r="C21" s="1" t="s">
        <v>36</v>
      </c>
      <c r="D21" s="1" t="s">
        <v>31</v>
      </c>
      <c r="E21" s="1" t="s">
        <v>23</v>
      </c>
      <c r="F21" s="4">
        <v>1200</v>
      </c>
    </row>
    <row r="22" spans="1:6" x14ac:dyDescent="0.25">
      <c r="A22" s="1" t="s">
        <v>49</v>
      </c>
      <c r="B22" s="1" t="s">
        <v>27</v>
      </c>
      <c r="C22" s="1" t="s">
        <v>21</v>
      </c>
      <c r="D22" s="1" t="s">
        <v>31</v>
      </c>
      <c r="E22" s="1" t="s">
        <v>23</v>
      </c>
      <c r="F22" s="4">
        <v>1073.29</v>
      </c>
    </row>
    <row r="23" spans="1:6" x14ac:dyDescent="0.25">
      <c r="A23" s="1" t="s">
        <v>50</v>
      </c>
      <c r="B23" s="1" t="s">
        <v>27</v>
      </c>
      <c r="C23" s="1" t="s">
        <v>11</v>
      </c>
      <c r="D23" s="1" t="s">
        <v>51</v>
      </c>
      <c r="E23" s="1" t="s">
        <v>1</v>
      </c>
      <c r="F23" s="4">
        <v>1070</v>
      </c>
    </row>
    <row r="24" spans="1:6" x14ac:dyDescent="0.25">
      <c r="A24" s="1" t="s">
        <v>52</v>
      </c>
      <c r="B24" s="1" t="s">
        <v>27</v>
      </c>
      <c r="C24" s="1" t="s">
        <v>11</v>
      </c>
      <c r="D24" s="1" t="s">
        <v>31</v>
      </c>
      <c r="E24" s="1" t="s">
        <v>23</v>
      </c>
      <c r="F24" s="4">
        <v>1067.58</v>
      </c>
    </row>
    <row r="25" spans="1:6" x14ac:dyDescent="0.25">
      <c r="A25" s="1" t="s">
        <v>53</v>
      </c>
      <c r="B25" s="1" t="s">
        <v>7</v>
      </c>
      <c r="C25" s="1" t="s">
        <v>11</v>
      </c>
      <c r="D25" s="1" t="s">
        <v>9</v>
      </c>
      <c r="E25" s="1" t="s">
        <v>9</v>
      </c>
      <c r="F25" s="4">
        <v>1040.32</v>
      </c>
    </row>
    <row r="26" spans="1:6" x14ac:dyDescent="0.25">
      <c r="A26" s="1" t="s">
        <v>54</v>
      </c>
      <c r="B26" s="1" t="s">
        <v>27</v>
      </c>
      <c r="C26" s="1" t="s">
        <v>16</v>
      </c>
      <c r="D26" s="1" t="s">
        <v>55</v>
      </c>
      <c r="E26" s="1" t="s">
        <v>55</v>
      </c>
      <c r="F26" s="4">
        <v>1010.94</v>
      </c>
    </row>
    <row r="27" spans="1:6" x14ac:dyDescent="0.25">
      <c r="A27" s="1" t="s">
        <v>56</v>
      </c>
      <c r="B27" s="1" t="s">
        <v>27</v>
      </c>
      <c r="C27" s="1" t="s">
        <v>11</v>
      </c>
      <c r="D27" s="1" t="s">
        <v>31</v>
      </c>
      <c r="E27" s="1" t="s">
        <v>23</v>
      </c>
      <c r="F27" s="4">
        <v>963.73</v>
      </c>
    </row>
    <row r="28" spans="1:6" x14ac:dyDescent="0.25">
      <c r="A28" s="1" t="s">
        <v>57</v>
      </c>
      <c r="B28" s="1" t="s">
        <v>27</v>
      </c>
      <c r="C28" s="1" t="s">
        <v>11</v>
      </c>
      <c r="D28" s="1" t="s">
        <v>22</v>
      </c>
      <c r="E28" s="1" t="s">
        <v>23</v>
      </c>
      <c r="F28" s="4">
        <v>937.62</v>
      </c>
    </row>
    <row r="29" spans="1:6" x14ac:dyDescent="0.25">
      <c r="A29" s="1" t="s">
        <v>58</v>
      </c>
      <c r="B29" s="1" t="s">
        <v>27</v>
      </c>
      <c r="C29" s="1" t="s">
        <v>36</v>
      </c>
      <c r="D29" s="1" t="s">
        <v>31</v>
      </c>
      <c r="E29" s="1" t="s">
        <v>23</v>
      </c>
      <c r="F29" s="4">
        <v>840.51</v>
      </c>
    </row>
    <row r="30" spans="1:6" x14ac:dyDescent="0.25">
      <c r="A30" s="1" t="s">
        <v>59</v>
      </c>
      <c r="B30" s="1" t="s">
        <v>27</v>
      </c>
      <c r="C30" s="1" t="s">
        <v>21</v>
      </c>
      <c r="D30" s="1" t="s">
        <v>9</v>
      </c>
      <c r="E30" s="1" t="s">
        <v>9</v>
      </c>
      <c r="F30" s="4">
        <v>827.41</v>
      </c>
    </row>
    <row r="31" spans="1:6" x14ac:dyDescent="0.25">
      <c r="A31" s="1" t="s">
        <v>60</v>
      </c>
      <c r="B31" s="1" t="s">
        <v>38</v>
      </c>
      <c r="C31" s="1" t="s">
        <v>16</v>
      </c>
      <c r="D31" s="1" t="s">
        <v>31</v>
      </c>
      <c r="E31" s="1" t="s">
        <v>23</v>
      </c>
      <c r="F31" s="4">
        <v>777.26</v>
      </c>
    </row>
    <row r="32" spans="1:6" x14ac:dyDescent="0.25">
      <c r="A32" s="1" t="s">
        <v>61</v>
      </c>
      <c r="B32" s="1" t="s">
        <v>27</v>
      </c>
      <c r="C32" s="1" t="s">
        <v>11</v>
      </c>
      <c r="D32" s="1" t="s">
        <v>62</v>
      </c>
      <c r="E32" s="1" t="s">
        <v>44</v>
      </c>
      <c r="F32" s="4">
        <v>772.9</v>
      </c>
    </row>
    <row r="33" spans="1:6" x14ac:dyDescent="0.25">
      <c r="A33" s="1" t="s">
        <v>63</v>
      </c>
      <c r="B33" s="1" t="s">
        <v>27</v>
      </c>
      <c r="C33" s="1" t="s">
        <v>11</v>
      </c>
      <c r="D33" s="1" t="s">
        <v>64</v>
      </c>
      <c r="E33" s="1" t="s">
        <v>14</v>
      </c>
      <c r="F33" s="4">
        <v>644.79</v>
      </c>
    </row>
    <row r="34" spans="1:6" x14ac:dyDescent="0.25">
      <c r="A34" s="1" t="s">
        <v>65</v>
      </c>
      <c r="B34" s="1" t="s">
        <v>27</v>
      </c>
      <c r="C34" s="1" t="s">
        <v>11</v>
      </c>
      <c r="D34" s="1" t="s">
        <v>19</v>
      </c>
      <c r="E34" s="1" t="s">
        <v>1</v>
      </c>
      <c r="F34" s="4">
        <v>621.26</v>
      </c>
    </row>
    <row r="35" spans="1:6" x14ac:dyDescent="0.25">
      <c r="A35" s="1" t="s">
        <v>66</v>
      </c>
      <c r="B35" s="1" t="s">
        <v>27</v>
      </c>
      <c r="C35" s="1" t="s">
        <v>36</v>
      </c>
      <c r="D35" s="1" t="s">
        <v>64</v>
      </c>
      <c r="E35" s="1" t="s">
        <v>14</v>
      </c>
      <c r="F35" s="4">
        <v>620.27</v>
      </c>
    </row>
    <row r="36" spans="1:6" x14ac:dyDescent="0.25">
      <c r="A36" s="1" t="s">
        <v>67</v>
      </c>
      <c r="B36" s="1" t="s">
        <v>27</v>
      </c>
      <c r="C36" s="1" t="s">
        <v>21</v>
      </c>
      <c r="D36" s="1" t="s">
        <v>19</v>
      </c>
      <c r="E36" s="1" t="s">
        <v>1</v>
      </c>
      <c r="F36" s="4">
        <v>607.37</v>
      </c>
    </row>
    <row r="37" spans="1:6" x14ac:dyDescent="0.25">
      <c r="A37" s="1" t="s">
        <v>68</v>
      </c>
      <c r="B37" s="1" t="s">
        <v>27</v>
      </c>
      <c r="C37" s="1" t="s">
        <v>36</v>
      </c>
      <c r="D37" s="1" t="s">
        <v>69</v>
      </c>
      <c r="E37" s="1" t="s">
        <v>69</v>
      </c>
      <c r="F37" s="4">
        <v>583.33000000000004</v>
      </c>
    </row>
    <row r="38" spans="1:6" x14ac:dyDescent="0.25">
      <c r="A38" s="1" t="s">
        <v>70</v>
      </c>
      <c r="B38" s="1" t="s">
        <v>27</v>
      </c>
      <c r="C38" s="1" t="s">
        <v>16</v>
      </c>
      <c r="D38" s="1" t="s">
        <v>19</v>
      </c>
      <c r="E38" s="1" t="s">
        <v>1</v>
      </c>
      <c r="F38" s="4">
        <v>480</v>
      </c>
    </row>
    <row r="39" spans="1:6" x14ac:dyDescent="0.25">
      <c r="A39" s="1" t="s">
        <v>71</v>
      </c>
      <c r="B39" s="1" t="s">
        <v>27</v>
      </c>
      <c r="C39" s="1" t="s">
        <v>34</v>
      </c>
      <c r="D39" s="1" t="s">
        <v>19</v>
      </c>
      <c r="E39" s="1" t="s">
        <v>1</v>
      </c>
      <c r="F39" s="4">
        <v>320</v>
      </c>
    </row>
    <row r="40" spans="1:6" x14ac:dyDescent="0.25">
      <c r="A40" s="1" t="s">
        <v>72</v>
      </c>
      <c r="B40" s="1" t="s">
        <v>27</v>
      </c>
      <c r="C40" s="1" t="s">
        <v>16</v>
      </c>
      <c r="D40" s="1" t="s">
        <v>28</v>
      </c>
      <c r="E40" s="1" t="s">
        <v>1</v>
      </c>
      <c r="F40" s="4">
        <v>302.91000000000003</v>
      </c>
    </row>
    <row r="41" spans="1:6" ht="13" x14ac:dyDescent="0.3">
      <c r="A41" s="2" t="s">
        <v>73</v>
      </c>
      <c r="F41" s="5">
        <f>SUM(F2:F40)</f>
        <v>89646.719999999987</v>
      </c>
    </row>
  </sheetData>
  <autoFilter ref="A1:F41" xr:uid="{3D9A0FC0-D12D-4B3F-BA40-342B2CACA16A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90FCB-3A5C-4D73-A38F-1EF78B566250}">
  <dimension ref="A1:F13"/>
  <sheetViews>
    <sheetView workbookViewId="0">
      <pane ySplit="1" topLeftCell="A2" activePane="bottomLeft" state="frozen"/>
      <selection pane="bottomLeft" activeCell="A2" sqref="A2"/>
    </sheetView>
  </sheetViews>
  <sheetFormatPr defaultRowHeight="12.5" x14ac:dyDescent="0.25"/>
  <cols>
    <col min="1" max="1" width="40.6328125" style="1" customWidth="1"/>
    <col min="2" max="2" width="22.6328125" style="1" customWidth="1"/>
    <col min="3" max="3" width="11.6328125" style="1" customWidth="1"/>
    <col min="4" max="4" width="40.6328125" style="1" customWidth="1"/>
    <col min="5" max="5" width="34.6328125" style="1" customWidth="1"/>
    <col min="6" max="6" width="16.6328125" style="1" customWidth="1"/>
    <col min="7" max="16384" width="8.7265625" style="1"/>
  </cols>
  <sheetData>
    <row r="1" spans="1:6" ht="1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74</v>
      </c>
    </row>
    <row r="2" spans="1:6" x14ac:dyDescent="0.25">
      <c r="A2" s="1" t="s">
        <v>75</v>
      </c>
      <c r="B2" s="1" t="s">
        <v>27</v>
      </c>
      <c r="C2" s="1" t="s">
        <v>21</v>
      </c>
      <c r="D2" s="1" t="s">
        <v>76</v>
      </c>
      <c r="E2" s="1" t="s">
        <v>76</v>
      </c>
      <c r="F2" s="4">
        <v>4195.79</v>
      </c>
    </row>
    <row r="3" spans="1:6" x14ac:dyDescent="0.25">
      <c r="A3" s="1" t="s">
        <v>77</v>
      </c>
      <c r="B3" s="1" t="s">
        <v>7</v>
      </c>
      <c r="C3" s="1" t="s">
        <v>11</v>
      </c>
      <c r="D3" s="1" t="s">
        <v>78</v>
      </c>
      <c r="E3" s="1" t="s">
        <v>79</v>
      </c>
      <c r="F3" s="4">
        <v>1484.86</v>
      </c>
    </row>
    <row r="4" spans="1:6" x14ac:dyDescent="0.25">
      <c r="A4" s="1" t="s">
        <v>80</v>
      </c>
      <c r="B4" s="1" t="s">
        <v>7</v>
      </c>
      <c r="C4" s="1" t="s">
        <v>16</v>
      </c>
      <c r="D4" s="1" t="s">
        <v>81</v>
      </c>
      <c r="E4" s="1" t="s">
        <v>81</v>
      </c>
      <c r="F4" s="4">
        <v>884.96</v>
      </c>
    </row>
    <row r="5" spans="1:6" x14ac:dyDescent="0.25">
      <c r="A5" s="1" t="s">
        <v>82</v>
      </c>
      <c r="B5" s="1" t="s">
        <v>38</v>
      </c>
      <c r="C5" s="1" t="s">
        <v>16</v>
      </c>
      <c r="D5" s="1" t="s">
        <v>22</v>
      </c>
      <c r="E5" s="1" t="s">
        <v>22</v>
      </c>
      <c r="F5" s="4">
        <v>865.52</v>
      </c>
    </row>
    <row r="6" spans="1:6" x14ac:dyDescent="0.25">
      <c r="A6" s="1" t="s">
        <v>83</v>
      </c>
      <c r="B6" s="1" t="s">
        <v>7</v>
      </c>
      <c r="C6" s="1" t="s">
        <v>21</v>
      </c>
      <c r="D6" s="1" t="s">
        <v>84</v>
      </c>
      <c r="E6" s="1" t="s">
        <v>79</v>
      </c>
      <c r="F6" s="4">
        <v>580.08000000000004</v>
      </c>
    </row>
    <row r="7" spans="1:6" x14ac:dyDescent="0.25">
      <c r="A7" s="1" t="s">
        <v>85</v>
      </c>
      <c r="B7" s="1" t="s">
        <v>7</v>
      </c>
      <c r="C7" s="1" t="s">
        <v>34</v>
      </c>
      <c r="D7" s="1" t="s">
        <v>84</v>
      </c>
      <c r="E7" s="1" t="s">
        <v>79</v>
      </c>
      <c r="F7" s="4">
        <v>561.54</v>
      </c>
    </row>
    <row r="8" spans="1:6" x14ac:dyDescent="0.25">
      <c r="A8" s="1" t="s">
        <v>86</v>
      </c>
      <c r="B8" s="1" t="s">
        <v>7</v>
      </c>
      <c r="C8" s="1" t="s">
        <v>11</v>
      </c>
      <c r="D8" s="1" t="s">
        <v>81</v>
      </c>
      <c r="E8" s="1" t="s">
        <v>81</v>
      </c>
      <c r="F8" s="4">
        <v>514.72</v>
      </c>
    </row>
    <row r="9" spans="1:6" x14ac:dyDescent="0.25">
      <c r="A9" s="1" t="s">
        <v>87</v>
      </c>
      <c r="B9" s="1" t="s">
        <v>27</v>
      </c>
      <c r="C9" s="1" t="s">
        <v>21</v>
      </c>
      <c r="D9" s="1" t="s">
        <v>88</v>
      </c>
      <c r="E9" s="1" t="s">
        <v>88</v>
      </c>
      <c r="F9" s="4">
        <v>213.03</v>
      </c>
    </row>
    <row r="10" spans="1:6" x14ac:dyDescent="0.25">
      <c r="A10" s="1" t="s">
        <v>89</v>
      </c>
      <c r="B10" s="1" t="s">
        <v>27</v>
      </c>
      <c r="C10" s="1" t="s">
        <v>21</v>
      </c>
      <c r="D10" s="1" t="s">
        <v>81</v>
      </c>
      <c r="E10" s="1" t="s">
        <v>81</v>
      </c>
      <c r="F10" s="4">
        <v>65.3</v>
      </c>
    </row>
    <row r="11" spans="1:6" ht="13" x14ac:dyDescent="0.3">
      <c r="A11" s="2" t="s">
        <v>73</v>
      </c>
      <c r="F11" s="5">
        <f>SUM(F2:F10)</f>
        <v>9365.7999999999993</v>
      </c>
    </row>
    <row r="13" spans="1:6" ht="13" x14ac:dyDescent="0.3">
      <c r="A13" s="6" t="s">
        <v>90</v>
      </c>
    </row>
  </sheetData>
  <autoFilter ref="A1:F11" xr:uid="{98890FCB-3A5C-4D73-A38F-1EF78B566250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8FB99-C36A-43AB-907B-D0056368A619}">
  <dimension ref="A1:I14"/>
  <sheetViews>
    <sheetView workbookViewId="0"/>
  </sheetViews>
  <sheetFormatPr defaultRowHeight="12.5" x14ac:dyDescent="0.25"/>
  <cols>
    <col min="1" max="1" width="34.6328125" style="1" customWidth="1"/>
    <col min="2" max="3" width="17.6328125" style="1" customWidth="1"/>
    <col min="4" max="5" width="15.6328125" style="1" customWidth="1"/>
    <col min="6" max="6" width="20.6328125" style="1" customWidth="1"/>
    <col min="7" max="7" width="16.6328125" style="1" customWidth="1"/>
    <col min="8" max="8" width="10.6328125" style="1" customWidth="1"/>
    <col min="9" max="9" width="11.6328125" style="1" customWidth="1"/>
    <col min="10" max="16384" width="8.7265625" style="1"/>
  </cols>
  <sheetData>
    <row r="1" spans="1:9" ht="15.5" x14ac:dyDescent="0.35">
      <c r="A1" s="7" t="s">
        <v>91</v>
      </c>
    </row>
    <row r="3" spans="1:9" ht="26" x14ac:dyDescent="0.25">
      <c r="A3" s="3" t="s">
        <v>4</v>
      </c>
      <c r="B3" s="3" t="s">
        <v>7</v>
      </c>
      <c r="C3" s="3" t="s">
        <v>27</v>
      </c>
      <c r="D3" s="3" t="s">
        <v>25</v>
      </c>
      <c r="E3" s="3" t="s">
        <v>38</v>
      </c>
      <c r="F3" s="3" t="s">
        <v>33</v>
      </c>
      <c r="G3" s="3" t="s">
        <v>92</v>
      </c>
      <c r="H3" s="3" t="s">
        <v>93</v>
      </c>
      <c r="I3" s="3" t="s">
        <v>94</v>
      </c>
    </row>
    <row r="4" spans="1:9" x14ac:dyDescent="0.25">
      <c r="A4" s="1" t="s">
        <v>9</v>
      </c>
      <c r="B4" s="4">
        <f>SUMIFS(Churn!$F:$F,Churn!$E:$E,$A4,Churn!$B:$B,B$3)</f>
        <v>35669.379999999997</v>
      </c>
      <c r="C4" s="4">
        <f>SUMIFS(Churn!$F:$F,Churn!$E:$E,$A4,Churn!$B:$B,C$3)</f>
        <v>827.41</v>
      </c>
      <c r="D4" s="4">
        <f>SUMIFS(Churn!$F:$F,Churn!$E:$E,$A4,Churn!$B:$B,D$3)</f>
        <v>1875.06</v>
      </c>
      <c r="E4" s="4">
        <f>SUMIFS(Churn!$F:$F,Churn!$E:$E,$A4,Churn!$B:$B,E$3)</f>
        <v>0</v>
      </c>
      <c r="F4" s="4">
        <f>SUMIFS(Churn!$F:$F,Churn!$E:$E,$A4,Churn!$B:$B,F$3)</f>
        <v>1926.99</v>
      </c>
      <c r="G4" s="4">
        <f t="shared" ref="G4:G10" si="0">SUM(B4:F4)</f>
        <v>40298.839999999997</v>
      </c>
      <c r="H4" s="10">
        <f>COUNTIF(Churn!$E:$E,$A4)</f>
        <v>8</v>
      </c>
      <c r="I4" s="8">
        <f t="shared" ref="I4:I10" si="1">G4/$G$11</f>
        <v>0.44952944179106613</v>
      </c>
    </row>
    <row r="5" spans="1:9" x14ac:dyDescent="0.25">
      <c r="A5" s="1" t="s">
        <v>1</v>
      </c>
      <c r="B5" s="4">
        <f>SUMIFS(Churn!$F:$F,Churn!$E:$E,$A5,Churn!$B:$B,B$3)</f>
        <v>8181.15</v>
      </c>
      <c r="C5" s="4">
        <f>SUMIFS(Churn!$F:$F,Churn!$E:$E,$A5,Churn!$B:$B,C$3)</f>
        <v>8706.9</v>
      </c>
      <c r="D5" s="4">
        <f>SUMIFS(Churn!$F:$F,Churn!$E:$E,$A5,Churn!$B:$B,D$3)</f>
        <v>3046.65</v>
      </c>
      <c r="E5" s="4">
        <f>SUMIFS(Churn!$F:$F,Churn!$E:$E,$A5,Churn!$B:$B,E$3)</f>
        <v>1865.58</v>
      </c>
      <c r="F5" s="4">
        <f>SUMIFS(Churn!$F:$F,Churn!$E:$E,$A5,Churn!$B:$B,F$3)</f>
        <v>0</v>
      </c>
      <c r="G5" s="4">
        <f t="shared" si="0"/>
        <v>21800.28</v>
      </c>
      <c r="H5" s="10">
        <f>COUNTIF(Churn!$E:$E,$A5)</f>
        <v>13</v>
      </c>
      <c r="I5" s="8">
        <f t="shared" si="1"/>
        <v>0.24317989548306956</v>
      </c>
    </row>
    <row r="6" spans="1:9" x14ac:dyDescent="0.25">
      <c r="A6" s="1" t="s">
        <v>23</v>
      </c>
      <c r="B6" s="4">
        <f>SUMIFS(Churn!$F:$F,Churn!$E:$E,$A6,Churn!$B:$B,B$3)</f>
        <v>7216.4800000000005</v>
      </c>
      <c r="C6" s="4">
        <f>SUMIFS(Churn!$F:$F,Churn!$E:$E,$A6,Churn!$B:$B,C$3)</f>
        <v>6082.7300000000005</v>
      </c>
      <c r="D6" s="4">
        <f>SUMIFS(Churn!$F:$F,Churn!$E:$E,$A6,Churn!$B:$B,D$3)</f>
        <v>0</v>
      </c>
      <c r="E6" s="4">
        <f>SUMIFS(Churn!$F:$F,Churn!$E:$E,$A6,Churn!$B:$B,E$3)</f>
        <v>777.26</v>
      </c>
      <c r="F6" s="4">
        <f>SUMIFS(Churn!$F:$F,Churn!$E:$E,$A6,Churn!$B:$B,F$3)</f>
        <v>0</v>
      </c>
      <c r="G6" s="4">
        <f t="shared" si="0"/>
        <v>14076.470000000001</v>
      </c>
      <c r="H6" s="10">
        <f>COUNTIF(Churn!$E:$E,$A6)</f>
        <v>10</v>
      </c>
      <c r="I6" s="8">
        <f t="shared" si="1"/>
        <v>0.15702158428105348</v>
      </c>
    </row>
    <row r="7" spans="1:9" x14ac:dyDescent="0.25">
      <c r="A7" s="1" t="s">
        <v>14</v>
      </c>
      <c r="B7" s="4">
        <f>SUMIFS(Churn!$F:$F,Churn!$E:$E,$A7,Churn!$B:$B,B$3)</f>
        <v>6532.98</v>
      </c>
      <c r="C7" s="4">
        <f>SUMIFS(Churn!$F:$F,Churn!$E:$E,$A7,Churn!$B:$B,C$3)</f>
        <v>1265.06</v>
      </c>
      <c r="D7" s="4">
        <f>SUMIFS(Churn!$F:$F,Churn!$E:$E,$A7,Churn!$B:$B,D$3)</f>
        <v>0</v>
      </c>
      <c r="E7" s="4">
        <f>SUMIFS(Churn!$F:$F,Churn!$E:$E,$A7,Churn!$B:$B,E$3)</f>
        <v>0</v>
      </c>
      <c r="F7" s="4">
        <f>SUMIFS(Churn!$F:$F,Churn!$E:$E,$A7,Churn!$B:$B,F$3)</f>
        <v>0</v>
      </c>
      <c r="G7" s="4">
        <f t="shared" si="0"/>
        <v>7798.0399999999991</v>
      </c>
      <c r="H7" s="10">
        <f>COUNTIF(Churn!$E:$E,$A7)</f>
        <v>3</v>
      </c>
      <c r="I7" s="8">
        <f t="shared" si="1"/>
        <v>8.6986339265954185E-2</v>
      </c>
    </row>
    <row r="8" spans="1:9" x14ac:dyDescent="0.25">
      <c r="A8" s="1" t="s">
        <v>44</v>
      </c>
      <c r="B8" s="4">
        <f>SUMIFS(Churn!$F:$F,Churn!$E:$E,$A8,Churn!$B:$B,B$3)</f>
        <v>0</v>
      </c>
      <c r="C8" s="4">
        <f>SUMIFS(Churn!$F:$F,Churn!$E:$E,$A8,Churn!$B:$B,C$3)</f>
        <v>772.9</v>
      </c>
      <c r="D8" s="4">
        <f>SUMIFS(Churn!$F:$F,Churn!$E:$E,$A8,Churn!$B:$B,D$3)</f>
        <v>1650.36</v>
      </c>
      <c r="E8" s="4">
        <f>SUMIFS(Churn!$F:$F,Churn!$E:$E,$A8,Churn!$B:$B,E$3)</f>
        <v>1655.56</v>
      </c>
      <c r="F8" s="4">
        <f>SUMIFS(Churn!$F:$F,Churn!$E:$E,$A8,Churn!$B:$B,F$3)</f>
        <v>0</v>
      </c>
      <c r="G8" s="4">
        <f t="shared" si="0"/>
        <v>4078.8199999999997</v>
      </c>
      <c r="H8" s="10">
        <f>COUNTIF(Churn!$E:$E,$A8)</f>
        <v>3</v>
      </c>
      <c r="I8" s="8">
        <f t="shared" si="1"/>
        <v>4.5498820258008325E-2</v>
      </c>
    </row>
    <row r="9" spans="1:9" x14ac:dyDescent="0.25">
      <c r="A9" s="1" t="s">
        <v>55</v>
      </c>
      <c r="B9" s="4">
        <f>SUMIFS(Churn!$F:$F,Churn!$E:$E,$A9,Churn!$B:$B,B$3)</f>
        <v>0</v>
      </c>
      <c r="C9" s="4">
        <f>SUMIFS(Churn!$F:$F,Churn!$E:$E,$A9,Churn!$B:$B,C$3)</f>
        <v>1010.94</v>
      </c>
      <c r="D9" s="4">
        <f>SUMIFS(Churn!$F:$F,Churn!$E:$E,$A9,Churn!$B:$B,D$3)</f>
        <v>0</v>
      </c>
      <c r="E9" s="4">
        <f>SUMIFS(Churn!$F:$F,Churn!$E:$E,$A9,Churn!$B:$B,E$3)</f>
        <v>0</v>
      </c>
      <c r="F9" s="4">
        <f>SUMIFS(Churn!$F:$F,Churn!$E:$E,$A9,Churn!$B:$B,F$3)</f>
        <v>0</v>
      </c>
      <c r="G9" s="4">
        <f t="shared" si="0"/>
        <v>1010.94</v>
      </c>
      <c r="H9" s="10">
        <f>COUNTIF(Churn!$E:$E,$A9)</f>
        <v>1</v>
      </c>
      <c r="I9" s="8">
        <f t="shared" si="1"/>
        <v>1.1276932385256261E-2</v>
      </c>
    </row>
    <row r="10" spans="1:9" x14ac:dyDescent="0.25">
      <c r="A10" s="1" t="s">
        <v>69</v>
      </c>
      <c r="B10" s="4">
        <f>SUMIFS(Churn!$F:$F,Churn!$E:$E,$A10,Churn!$B:$B,B$3)</f>
        <v>0</v>
      </c>
      <c r="C10" s="4">
        <f>SUMIFS(Churn!$F:$F,Churn!$E:$E,$A10,Churn!$B:$B,C$3)</f>
        <v>583.33000000000004</v>
      </c>
      <c r="D10" s="4">
        <f>SUMIFS(Churn!$F:$F,Churn!$E:$E,$A10,Churn!$B:$B,D$3)</f>
        <v>0</v>
      </c>
      <c r="E10" s="4">
        <f>SUMIFS(Churn!$F:$F,Churn!$E:$E,$A10,Churn!$B:$B,E$3)</f>
        <v>0</v>
      </c>
      <c r="F10" s="4">
        <f>SUMIFS(Churn!$F:$F,Churn!$E:$E,$A10,Churn!$B:$B,F$3)</f>
        <v>0</v>
      </c>
      <c r="G10" s="4">
        <f t="shared" si="0"/>
        <v>583.33000000000004</v>
      </c>
      <c r="H10" s="10">
        <f>COUNTIF(Churn!$E:$E,$A10)</f>
        <v>1</v>
      </c>
      <c r="I10" s="8">
        <f t="shared" si="1"/>
        <v>6.5069865355921568E-3</v>
      </c>
    </row>
    <row r="11" spans="1:9" ht="13" x14ac:dyDescent="0.3">
      <c r="A11" s="2" t="s">
        <v>73</v>
      </c>
      <c r="B11" s="5">
        <f t="shared" ref="B11:I11" si="2">SUM(B4:B10)</f>
        <v>57599.990000000005</v>
      </c>
      <c r="C11" s="5">
        <f t="shared" si="2"/>
        <v>19249.270000000004</v>
      </c>
      <c r="D11" s="5">
        <f t="shared" si="2"/>
        <v>6572.07</v>
      </c>
      <c r="E11" s="5">
        <f t="shared" si="2"/>
        <v>4298.3999999999996</v>
      </c>
      <c r="F11" s="5">
        <f t="shared" si="2"/>
        <v>1926.99</v>
      </c>
      <c r="G11" s="5">
        <f t="shared" si="2"/>
        <v>89646.719999999987</v>
      </c>
      <c r="H11" s="11">
        <f t="shared" si="2"/>
        <v>39</v>
      </c>
      <c r="I11" s="9">
        <f t="shared" si="2"/>
        <v>1.0000000000000002</v>
      </c>
    </row>
    <row r="12" spans="1:9" x14ac:dyDescent="0.25">
      <c r="A12" s="1" t="s">
        <v>95</v>
      </c>
      <c r="B12" s="8">
        <f t="shared" ref="B12:G12" si="3">B11/$G$11</f>
        <v>0.64252200192042741</v>
      </c>
      <c r="C12" s="8">
        <f t="shared" si="3"/>
        <v>0.21472363963790317</v>
      </c>
      <c r="D12" s="8">
        <f t="shared" si="3"/>
        <v>7.331076920605685E-2</v>
      </c>
      <c r="E12" s="8">
        <f t="shared" si="3"/>
        <v>4.794821271765437E-2</v>
      </c>
      <c r="F12" s="8">
        <f t="shared" si="3"/>
        <v>2.1495376517958496E-2</v>
      </c>
      <c r="G12" s="8">
        <f t="shared" si="3"/>
        <v>1</v>
      </c>
    </row>
    <row r="14" spans="1:9" ht="13" x14ac:dyDescent="0.3">
      <c r="A14" s="6" t="s">
        <v>96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8C43A-467D-4C06-B9CB-22C03600CE23}">
  <dimension ref="A1:G14"/>
  <sheetViews>
    <sheetView workbookViewId="0"/>
  </sheetViews>
  <sheetFormatPr defaultRowHeight="12.5" x14ac:dyDescent="0.25"/>
  <cols>
    <col min="1" max="1" width="12.6328125" style="1" customWidth="1"/>
    <col min="2" max="2" width="20.6328125" style="1" customWidth="1"/>
    <col min="3" max="3" width="16.6328125" style="1" customWidth="1"/>
    <col min="4" max="4" width="22.6328125" style="1" customWidth="1"/>
    <col min="5" max="5" width="18.6328125" style="1" customWidth="1"/>
    <col min="6" max="6" width="16.6328125" style="1" customWidth="1"/>
    <col min="7" max="7" width="20.6328125" style="1" customWidth="1"/>
    <col min="8" max="16384" width="8.7265625" style="1"/>
  </cols>
  <sheetData>
    <row r="1" spans="1:7" ht="15.5" x14ac:dyDescent="0.35">
      <c r="A1" s="7" t="s">
        <v>97</v>
      </c>
    </row>
    <row r="3" spans="1:7" ht="13" x14ac:dyDescent="0.25">
      <c r="A3" s="3" t="s">
        <v>2</v>
      </c>
      <c r="B3" s="3" t="s">
        <v>98</v>
      </c>
      <c r="C3" s="3" t="s">
        <v>99</v>
      </c>
      <c r="D3" s="3" t="s">
        <v>100</v>
      </c>
      <c r="E3" s="3" t="s">
        <v>101</v>
      </c>
      <c r="F3" s="3" t="s">
        <v>102</v>
      </c>
      <c r="G3" s="3" t="s">
        <v>103</v>
      </c>
    </row>
    <row r="4" spans="1:7" x14ac:dyDescent="0.25">
      <c r="A4" s="1" t="s">
        <v>36</v>
      </c>
      <c r="B4" s="4">
        <v>6776.64</v>
      </c>
      <c r="C4" s="4">
        <f>SUMIFS(Downsell!$F:$F,Downsell!$C:$C,A4)</f>
        <v>0</v>
      </c>
      <c r="D4" s="4">
        <v>1325910.4623666699</v>
      </c>
      <c r="E4" s="8">
        <f t="shared" ref="E4:E10" si="0">B4/D4</f>
        <v>5.1109333490770622E-3</v>
      </c>
      <c r="F4" s="8">
        <f t="shared" ref="F4:F9" si="1">E4*12</f>
        <v>6.1331200188924746E-2</v>
      </c>
      <c r="G4" s="1" t="str">
        <f t="shared" ref="G4:G10" si="2">IF(F4&gt;0.15,"Acima do esperado","Dentro do esperado")</f>
        <v>Dentro do esperado</v>
      </c>
    </row>
    <row r="5" spans="1:7" x14ac:dyDescent="0.25">
      <c r="A5" s="1" t="s">
        <v>16</v>
      </c>
      <c r="B5" s="4">
        <v>27389.73</v>
      </c>
      <c r="C5" s="4">
        <f>SUMIFS(Downsell!$F:$F,Downsell!$C:$C,A5)</f>
        <v>1750.48</v>
      </c>
      <c r="D5" s="4">
        <v>1320291.60060001</v>
      </c>
      <c r="E5" s="8">
        <f t="shared" si="0"/>
        <v>2.0745212639050846E-2</v>
      </c>
      <c r="F5" s="8">
        <f t="shared" si="1"/>
        <v>0.24894255166861015</v>
      </c>
      <c r="G5" s="1" t="str">
        <f t="shared" si="2"/>
        <v>Acima do esperado</v>
      </c>
    </row>
    <row r="6" spans="1:7" x14ac:dyDescent="0.25">
      <c r="A6" s="1" t="s">
        <v>34</v>
      </c>
      <c r="B6" s="4">
        <v>2246.9899999999998</v>
      </c>
      <c r="C6" s="4">
        <f>SUMIFS(Downsell!$F:$F,Downsell!$C:$C,A6)</f>
        <v>561.54</v>
      </c>
      <c r="D6" s="4">
        <v>1337681.5416333401</v>
      </c>
      <c r="E6" s="8">
        <f t="shared" si="0"/>
        <v>1.6797645254612492E-3</v>
      </c>
      <c r="F6" s="8">
        <f t="shared" si="1"/>
        <v>2.015717430553499E-2</v>
      </c>
      <c r="G6" s="1" t="str">
        <f t="shared" si="2"/>
        <v>Dentro do esperado</v>
      </c>
    </row>
    <row r="7" spans="1:7" x14ac:dyDescent="0.25">
      <c r="A7" s="1" t="s">
        <v>104</v>
      </c>
      <c r="B7" s="4">
        <v>0</v>
      </c>
      <c r="C7" s="4">
        <f>SUMIFS(Downsell!$F:$F,Downsell!$C:$C,A7)</f>
        <v>0</v>
      </c>
      <c r="D7" s="4">
        <v>1340358.7933</v>
      </c>
      <c r="E7" s="8">
        <f t="shared" si="0"/>
        <v>0</v>
      </c>
      <c r="F7" s="8">
        <f t="shared" si="1"/>
        <v>0</v>
      </c>
      <c r="G7" s="1" t="str">
        <f t="shared" si="2"/>
        <v>Dentro do esperado</v>
      </c>
    </row>
    <row r="8" spans="1:7" x14ac:dyDescent="0.25">
      <c r="A8" s="1" t="s">
        <v>21</v>
      </c>
      <c r="B8" s="4">
        <v>21030.400000000001</v>
      </c>
      <c r="C8" s="4">
        <f>SUMIFS(Downsell!$F:$F,Downsell!$C:$C,A8)</f>
        <v>5054.2</v>
      </c>
      <c r="D8" s="4">
        <v>1328960.3543333299</v>
      </c>
      <c r="E8" s="8">
        <f t="shared" si="0"/>
        <v>1.5824700813253271E-2</v>
      </c>
      <c r="F8" s="8">
        <f t="shared" si="1"/>
        <v>0.18989640975903926</v>
      </c>
      <c r="G8" s="1" t="str">
        <f t="shared" si="2"/>
        <v>Acima do esperado</v>
      </c>
    </row>
    <row r="9" spans="1:7" x14ac:dyDescent="0.25">
      <c r="A9" s="1" t="s">
        <v>11</v>
      </c>
      <c r="B9" s="4">
        <v>32202.959999999999</v>
      </c>
      <c r="C9" s="4">
        <f>SUMIFS(Downsell!$F:$F,Downsell!$C:$C,A9)</f>
        <v>1999.58</v>
      </c>
      <c r="D9" s="4">
        <v>1299827.46433333</v>
      </c>
      <c r="E9" s="8">
        <f t="shared" si="0"/>
        <v>2.4774795796853401E-2</v>
      </c>
      <c r="F9" s="8">
        <f t="shared" si="1"/>
        <v>0.2972975495622408</v>
      </c>
      <c r="G9" s="1" t="str">
        <f t="shared" si="2"/>
        <v>Acima do esperado</v>
      </c>
    </row>
    <row r="10" spans="1:7" ht="13" x14ac:dyDescent="0.3">
      <c r="A10" s="2" t="s">
        <v>105</v>
      </c>
      <c r="B10" s="5">
        <f>SUM(B4:B9)</f>
        <v>89646.720000000001</v>
      </c>
      <c r="C10" s="5">
        <f>SUM(C4:C9)</f>
        <v>9365.7999999999993</v>
      </c>
      <c r="D10" s="5">
        <f>AVERAGE(D4:D9)</f>
        <v>1325505.0360944469</v>
      </c>
      <c r="E10" s="9">
        <f t="shared" si="0"/>
        <v>6.7632123272908004E-2</v>
      </c>
      <c r="F10" s="9">
        <f>E10*2</f>
        <v>0.13526424654581601</v>
      </c>
      <c r="G10" s="2" t="str">
        <f t="shared" si="2"/>
        <v>Dentro do esperado</v>
      </c>
    </row>
    <row r="12" spans="1:7" ht="13" x14ac:dyDescent="0.3">
      <c r="A12" s="6" t="s">
        <v>106</v>
      </c>
    </row>
    <row r="13" spans="1:7" ht="13" x14ac:dyDescent="0.3">
      <c r="A13" s="6" t="s">
        <v>107</v>
      </c>
    </row>
    <row r="14" spans="1:7" ht="13" x14ac:dyDescent="0.3">
      <c r="A14" s="6" t="s">
        <v>108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599D3-B976-44F9-A94C-A3B5C3B46611}">
  <dimension ref="A1:D41"/>
  <sheetViews>
    <sheetView workbookViewId="0">
      <pane ySplit="1" topLeftCell="A2" activePane="bottomLeft" state="frozen"/>
      <selection pane="bottomLeft" activeCell="A2" sqref="A2"/>
    </sheetView>
  </sheetViews>
  <sheetFormatPr defaultRowHeight="12.5" x14ac:dyDescent="0.25"/>
  <cols>
    <col min="1" max="1" width="44.6328125" style="1" customWidth="1"/>
    <col min="2" max="2" width="20.6328125" style="1" customWidth="1"/>
    <col min="3" max="3" width="10.6328125" style="1" customWidth="1"/>
    <col min="4" max="4" width="13.6328125" style="1" customWidth="1"/>
    <col min="5" max="16384" width="8.7265625" style="1"/>
  </cols>
  <sheetData>
    <row r="1" spans="1:4" ht="13" x14ac:dyDescent="0.25">
      <c r="A1" s="3" t="s">
        <v>0</v>
      </c>
      <c r="B1" s="3" t="s">
        <v>98</v>
      </c>
      <c r="C1" s="3" t="s">
        <v>93</v>
      </c>
      <c r="D1" s="3" t="s">
        <v>109</v>
      </c>
    </row>
    <row r="2" spans="1:4" x14ac:dyDescent="0.25">
      <c r="A2" s="1" t="s">
        <v>6</v>
      </c>
      <c r="B2" s="4">
        <f>SUMIF(Churn!$A:$A,A2,Churn!$F:$F)</f>
        <v>16573.14</v>
      </c>
      <c r="C2" s="10">
        <f>COUNTIF(Churn!$A:$A,A2)</f>
        <v>1</v>
      </c>
      <c r="D2" s="8">
        <f>SUM($B$2:B2)/$B$39</f>
        <v>0.18487168297958922</v>
      </c>
    </row>
    <row r="3" spans="1:4" x14ac:dyDescent="0.25">
      <c r="A3" s="1" t="s">
        <v>10</v>
      </c>
      <c r="B3" s="4">
        <f>SUMIF(Churn!$A:$A,A3,Churn!$F:$F)</f>
        <v>15628.64</v>
      </c>
      <c r="C3" s="10">
        <f>COUNTIF(Churn!$A:$A,A3)</f>
        <v>2</v>
      </c>
      <c r="D3" s="8">
        <f>SUM($B$2:B3)/$B$39</f>
        <v>0.35920756498397266</v>
      </c>
    </row>
    <row r="4" spans="1:4" x14ac:dyDescent="0.25">
      <c r="A4" s="1" t="s">
        <v>12</v>
      </c>
      <c r="B4" s="4">
        <f>SUMIF(Churn!$A:$A,A4,Churn!$F:$F)</f>
        <v>6532.98</v>
      </c>
      <c r="C4" s="10">
        <f>COUNTIF(Churn!$A:$A,A4)</f>
        <v>1</v>
      </c>
      <c r="D4" s="8">
        <f>SUM($B$2:B4)/$B$39</f>
        <v>0.43208228923489894</v>
      </c>
    </row>
    <row r="5" spans="1:4" x14ac:dyDescent="0.25">
      <c r="A5" s="1" t="s">
        <v>18</v>
      </c>
      <c r="B5" s="4">
        <f>SUMIF(Churn!$A:$A,A5,Churn!$F:$F)</f>
        <v>5661.05</v>
      </c>
      <c r="C5" s="10">
        <f>COUNTIF(Churn!$A:$A,A5)</f>
        <v>2</v>
      </c>
      <c r="D5" s="8">
        <f>SUM($B$2:B5)/$B$39</f>
        <v>0.49523072344420416</v>
      </c>
    </row>
    <row r="6" spans="1:4" x14ac:dyDescent="0.25">
      <c r="A6" s="1" t="s">
        <v>15</v>
      </c>
      <c r="B6" s="4">
        <f>SUMIF(Churn!$A:$A,A6,Churn!$F:$F)</f>
        <v>4170.46</v>
      </c>
      <c r="C6" s="10">
        <f>COUNTIF(Churn!$A:$A,A6)</f>
        <v>1</v>
      </c>
      <c r="D6" s="8">
        <f>SUM($B$2:B6)/$B$39</f>
        <v>0.54175177853690581</v>
      </c>
    </row>
    <row r="7" spans="1:4" x14ac:dyDescent="0.25">
      <c r="A7" s="1" t="s">
        <v>20</v>
      </c>
      <c r="B7" s="4">
        <f>SUMIF(Churn!$A:$A,A7,Churn!$F:$F)</f>
        <v>3408.4</v>
      </c>
      <c r="C7" s="10">
        <f>COUNTIF(Churn!$A:$A,A7)</f>
        <v>1</v>
      </c>
      <c r="D7" s="8">
        <f>SUM($B$2:B7)/$B$39</f>
        <v>0.57977213220963364</v>
      </c>
    </row>
    <row r="8" spans="1:4" x14ac:dyDescent="0.25">
      <c r="A8" s="1" t="s">
        <v>24</v>
      </c>
      <c r="B8" s="4">
        <f>SUMIF(Churn!$A:$A,A8,Churn!$F:$F)</f>
        <v>3046.65</v>
      </c>
      <c r="C8" s="10">
        <f>COUNTIF(Churn!$A:$A,A8)</f>
        <v>1</v>
      </c>
      <c r="D8" s="8">
        <f>SUM($B$2:B8)/$B$39</f>
        <v>0.61375720160202185</v>
      </c>
    </row>
    <row r="9" spans="1:4" x14ac:dyDescent="0.25">
      <c r="A9" s="1" t="s">
        <v>26</v>
      </c>
      <c r="B9" s="4">
        <f>SUMIF(Churn!$A:$A,A9,Churn!$F:$F)</f>
        <v>2775.55</v>
      </c>
      <c r="C9" s="10">
        <f>COUNTIF(Churn!$A:$A,A9)</f>
        <v>1</v>
      </c>
      <c r="D9" s="8">
        <f>SUM($B$2:B9)/$B$39</f>
        <v>0.64471817819993871</v>
      </c>
    </row>
    <row r="10" spans="1:4" x14ac:dyDescent="0.25">
      <c r="A10" s="1" t="s">
        <v>29</v>
      </c>
      <c r="B10" s="4">
        <f>SUMIF(Churn!$A:$A,A10,Churn!$F:$F)</f>
        <v>2243.46</v>
      </c>
      <c r="C10" s="10">
        <f>COUNTIF(Churn!$A:$A,A10)</f>
        <v>1</v>
      </c>
      <c r="D10" s="8">
        <f>SUM($B$2:B10)/$B$39</f>
        <v>0.6697437452257039</v>
      </c>
    </row>
    <row r="11" spans="1:4" x14ac:dyDescent="0.25">
      <c r="A11" s="1" t="s">
        <v>30</v>
      </c>
      <c r="B11" s="4">
        <f>SUMIF(Churn!$A:$A,A11,Churn!$F:$F)</f>
        <v>2150.61</v>
      </c>
      <c r="C11" s="10">
        <f>COUNTIF(Churn!$A:$A,A11)</f>
        <v>1</v>
      </c>
      <c r="D11" s="8">
        <f>SUM($B$2:B11)/$B$39</f>
        <v>0.69373357999043372</v>
      </c>
    </row>
    <row r="12" spans="1:4" x14ac:dyDescent="0.25">
      <c r="A12" s="1" t="s">
        <v>32</v>
      </c>
      <c r="B12" s="4">
        <f>SUMIF(Churn!$A:$A,A12,Churn!$F:$F)</f>
        <v>2110.81</v>
      </c>
      <c r="C12" s="10">
        <f>COUNTIF(Churn!$A:$A,A12)</f>
        <v>1</v>
      </c>
      <c r="D12" s="8">
        <f>SUM($B$2:B12)/$B$39</f>
        <v>0.71727944982259262</v>
      </c>
    </row>
    <row r="13" spans="1:4" x14ac:dyDescent="0.25">
      <c r="A13" s="1" t="s">
        <v>35</v>
      </c>
      <c r="B13" s="4">
        <f>SUMIF(Churn!$A:$A,A13,Churn!$F:$F)</f>
        <v>1875.06</v>
      </c>
      <c r="C13" s="10">
        <f>COUNTIF(Churn!$A:$A,A13)</f>
        <v>1</v>
      </c>
      <c r="D13" s="8">
        <f>SUM($B$2:B13)/$B$39</f>
        <v>0.73819555249762636</v>
      </c>
    </row>
    <row r="14" spans="1:4" x14ac:dyDescent="0.25">
      <c r="A14" s="1" t="s">
        <v>37</v>
      </c>
      <c r="B14" s="4">
        <f>SUMIF(Churn!$A:$A,A14,Churn!$F:$F)</f>
        <v>1865.58</v>
      </c>
      <c r="C14" s="10">
        <f>COUNTIF(Churn!$A:$A,A14)</f>
        <v>1</v>
      </c>
      <c r="D14" s="8">
        <f>SUM($B$2:B14)/$B$39</f>
        <v>0.75900590674148494</v>
      </c>
    </row>
    <row r="15" spans="1:4" x14ac:dyDescent="0.25">
      <c r="A15" s="1" t="s">
        <v>40</v>
      </c>
      <c r="B15" s="4">
        <f>SUMIF(Churn!$A:$A,A15,Churn!$F:$F)</f>
        <v>1657.47</v>
      </c>
      <c r="C15" s="10">
        <f>COUNTIF(Churn!$A:$A,A15)</f>
        <v>1</v>
      </c>
      <c r="D15" s="8">
        <f>SUM($B$2:B15)/$B$39</f>
        <v>0.77749481520350117</v>
      </c>
    </row>
    <row r="16" spans="1:4" x14ac:dyDescent="0.25">
      <c r="A16" s="1" t="s">
        <v>42</v>
      </c>
      <c r="B16" s="4">
        <f>SUMIF(Churn!$A:$A,A16,Churn!$F:$F)</f>
        <v>1655.56</v>
      </c>
      <c r="C16" s="10">
        <f>COUNTIF(Churn!$A:$A,A16)</f>
        <v>1</v>
      </c>
      <c r="D16" s="8">
        <f>SUM($B$2:B16)/$B$39</f>
        <v>0.79596241781071309</v>
      </c>
    </row>
    <row r="17" spans="1:4" x14ac:dyDescent="0.25">
      <c r="A17" s="1" t="s">
        <v>45</v>
      </c>
      <c r="B17" s="4">
        <f>SUMIF(Churn!$A:$A,A17,Churn!$F:$F)</f>
        <v>1327.99</v>
      </c>
      <c r="C17" s="10">
        <f>COUNTIF(Churn!$A:$A,A17)</f>
        <v>1</v>
      </c>
      <c r="D17" s="8">
        <f>SUM($B$2:B17)/$B$39</f>
        <v>0.81077601054450199</v>
      </c>
    </row>
    <row r="18" spans="1:4" x14ac:dyDescent="0.25">
      <c r="A18" s="1" t="s">
        <v>46</v>
      </c>
      <c r="B18" s="4">
        <f>SUMIF(Churn!$A:$A,A18,Churn!$F:$F)</f>
        <v>1201.82</v>
      </c>
      <c r="C18" s="10">
        <f>COUNTIF(Churn!$A:$A,A18)</f>
        <v>1</v>
      </c>
      <c r="D18" s="8">
        <f>SUM($B$2:B18)/$B$39</f>
        <v>0.82418218982244995</v>
      </c>
    </row>
    <row r="19" spans="1:4" x14ac:dyDescent="0.25">
      <c r="A19" s="1" t="s">
        <v>48</v>
      </c>
      <c r="B19" s="4">
        <f>SUMIF(Churn!$A:$A,A19,Churn!$F:$F)</f>
        <v>1200</v>
      </c>
      <c r="C19" s="10">
        <f>COUNTIF(Churn!$A:$A,A19)</f>
        <v>1</v>
      </c>
      <c r="D19" s="8">
        <f>SUM($B$2:B19)/$B$39</f>
        <v>0.83756806718639587</v>
      </c>
    </row>
    <row r="20" spans="1:4" x14ac:dyDescent="0.25">
      <c r="A20" s="1" t="s">
        <v>49</v>
      </c>
      <c r="B20" s="4">
        <f>SUMIF(Churn!$A:$A,A20,Churn!$F:$F)</f>
        <v>1073.29</v>
      </c>
      <c r="C20" s="10">
        <f>COUNTIF(Churn!$A:$A,A20)</f>
        <v>1</v>
      </c>
      <c r="D20" s="8">
        <f>SUM($B$2:B20)/$B$39</f>
        <v>0.84954050744968712</v>
      </c>
    </row>
    <row r="21" spans="1:4" x14ac:dyDescent="0.25">
      <c r="A21" s="1" t="s">
        <v>50</v>
      </c>
      <c r="B21" s="4">
        <f>SUMIF(Churn!$A:$A,A21,Churn!$F:$F)</f>
        <v>1070</v>
      </c>
      <c r="C21" s="10">
        <f>COUNTIF(Churn!$A:$A,A21)</f>
        <v>1</v>
      </c>
      <c r="D21" s="8">
        <f>SUM($B$2:B21)/$B$39</f>
        <v>0.86147624809920564</v>
      </c>
    </row>
    <row r="22" spans="1:4" x14ac:dyDescent="0.25">
      <c r="A22" s="1" t="s">
        <v>52</v>
      </c>
      <c r="B22" s="4">
        <f>SUMIF(Churn!$A:$A,A22,Churn!$F:$F)</f>
        <v>1067.58</v>
      </c>
      <c r="C22" s="10">
        <f>COUNTIF(Churn!$A:$A,A22)</f>
        <v>1</v>
      </c>
      <c r="D22" s="8">
        <f>SUM($B$2:B22)/$B$39</f>
        <v>0.87338499389604007</v>
      </c>
    </row>
    <row r="23" spans="1:4" x14ac:dyDescent="0.25">
      <c r="A23" s="1" t="s">
        <v>53</v>
      </c>
      <c r="B23" s="4">
        <f>SUMIF(Churn!$A:$A,A23,Churn!$F:$F)</f>
        <v>1040.32</v>
      </c>
      <c r="C23" s="10">
        <f>COUNTIF(Churn!$A:$A,A23)</f>
        <v>1</v>
      </c>
      <c r="D23" s="8">
        <f>SUM($B$2:B23)/$B$39</f>
        <v>0.88498965717875711</v>
      </c>
    </row>
    <row r="24" spans="1:4" x14ac:dyDescent="0.25">
      <c r="A24" s="1" t="s">
        <v>54</v>
      </c>
      <c r="B24" s="4">
        <f>SUMIF(Churn!$A:$A,A24,Churn!$F:$F)</f>
        <v>1010.94</v>
      </c>
      <c r="C24" s="10">
        <f>COUNTIF(Churn!$A:$A,A24)</f>
        <v>1</v>
      </c>
      <c r="D24" s="8">
        <f>SUM($B$2:B24)/$B$39</f>
        <v>0.89626658956401339</v>
      </c>
    </row>
    <row r="25" spans="1:4" x14ac:dyDescent="0.25">
      <c r="A25" s="1" t="s">
        <v>56</v>
      </c>
      <c r="B25" s="4">
        <f>SUMIF(Churn!$A:$A,A25,Churn!$F:$F)</f>
        <v>963.73</v>
      </c>
      <c r="C25" s="10">
        <f>COUNTIF(Churn!$A:$A,A25)</f>
        <v>1</v>
      </c>
      <c r="D25" s="8">
        <f>SUM($B$2:B25)/$B$39</f>
        <v>0.90701689922397633</v>
      </c>
    </row>
    <row r="26" spans="1:4" x14ac:dyDescent="0.25">
      <c r="A26" s="1" t="s">
        <v>57</v>
      </c>
      <c r="B26" s="4">
        <f>SUMIF(Churn!$A:$A,A26,Churn!$F:$F)</f>
        <v>937.62</v>
      </c>
      <c r="C26" s="10">
        <f>COUNTIF(Churn!$A:$A,A26)</f>
        <v>1</v>
      </c>
      <c r="D26" s="8">
        <f>SUM($B$2:B26)/$B$39</f>
        <v>0.91747595450229547</v>
      </c>
    </row>
    <row r="27" spans="1:4" x14ac:dyDescent="0.25">
      <c r="A27" s="1" t="s">
        <v>58</v>
      </c>
      <c r="B27" s="4">
        <f>SUMIF(Churn!$A:$A,A27,Churn!$F:$F)</f>
        <v>840.51</v>
      </c>
      <c r="C27" s="10">
        <f>COUNTIF(Churn!$A:$A,A27)</f>
        <v>1</v>
      </c>
      <c r="D27" s="8">
        <f>SUM($B$2:B27)/$B$39</f>
        <v>0.92685175765493721</v>
      </c>
    </row>
    <row r="28" spans="1:4" x14ac:dyDescent="0.25">
      <c r="A28" s="1" t="s">
        <v>59</v>
      </c>
      <c r="B28" s="4">
        <f>SUMIF(Churn!$A:$A,A28,Churn!$F:$F)</f>
        <v>827.41</v>
      </c>
      <c r="C28" s="10">
        <f>COUNTIF(Churn!$A:$A,A28)</f>
        <v>1</v>
      </c>
      <c r="D28" s="8">
        <f>SUM($B$2:B28)/$B$39</f>
        <v>0.93608143164635604</v>
      </c>
    </row>
    <row r="29" spans="1:4" x14ac:dyDescent="0.25">
      <c r="A29" s="1" t="s">
        <v>60</v>
      </c>
      <c r="B29" s="4">
        <f>SUMIF(Churn!$A:$A,A29,Churn!$F:$F)</f>
        <v>777.26</v>
      </c>
      <c r="C29" s="10">
        <f>COUNTIF(Churn!$A:$A,A29)</f>
        <v>1</v>
      </c>
      <c r="D29" s="8">
        <f>SUM($B$2:B29)/$B$39</f>
        <v>0.94475168751293981</v>
      </c>
    </row>
    <row r="30" spans="1:4" x14ac:dyDescent="0.25">
      <c r="A30" s="1" t="s">
        <v>61</v>
      </c>
      <c r="B30" s="4">
        <f>SUMIF(Churn!$A:$A,A30,Churn!$F:$F)</f>
        <v>772.9</v>
      </c>
      <c r="C30" s="10">
        <f>COUNTIF(Churn!$A:$A,A30)</f>
        <v>1</v>
      </c>
      <c r="D30" s="8">
        <f>SUM($B$2:B30)/$B$39</f>
        <v>0.95337330802510123</v>
      </c>
    </row>
    <row r="31" spans="1:4" x14ac:dyDescent="0.25">
      <c r="A31" s="1" t="s">
        <v>63</v>
      </c>
      <c r="B31" s="4">
        <f>SUMIF(Churn!$A:$A,A31,Churn!$F:$F)</f>
        <v>644.79</v>
      </c>
      <c r="C31" s="10">
        <f>COUNTIF(Churn!$A:$A,A31)</f>
        <v>1</v>
      </c>
      <c r="D31" s="8">
        <f>SUM($B$2:B31)/$B$39</f>
        <v>0.96056587457968345</v>
      </c>
    </row>
    <row r="32" spans="1:4" x14ac:dyDescent="0.25">
      <c r="A32" s="1" t="s">
        <v>65</v>
      </c>
      <c r="B32" s="4">
        <f>SUMIF(Churn!$A:$A,A32,Churn!$F:$F)</f>
        <v>621.26</v>
      </c>
      <c r="C32" s="10">
        <f>COUNTIF(Churn!$A:$A,A32)</f>
        <v>1</v>
      </c>
      <c r="D32" s="8">
        <f>SUM($B$2:B32)/$B$39</f>
        <v>0.9674959663889543</v>
      </c>
    </row>
    <row r="33" spans="1:4" x14ac:dyDescent="0.25">
      <c r="A33" s="1" t="s">
        <v>66</v>
      </c>
      <c r="B33" s="4">
        <f>SUMIF(Churn!$A:$A,A33,Churn!$F:$F)</f>
        <v>620.27</v>
      </c>
      <c r="C33" s="10">
        <f>COUNTIF(Churn!$A:$A,A33)</f>
        <v>1</v>
      </c>
      <c r="D33" s="8">
        <f>SUM($B$2:B33)/$B$39</f>
        <v>0.97441501484939996</v>
      </c>
    </row>
    <row r="34" spans="1:4" x14ac:dyDescent="0.25">
      <c r="A34" s="1" t="s">
        <v>67</v>
      </c>
      <c r="B34" s="4">
        <f>SUMIF(Churn!$A:$A,A34,Churn!$F:$F)</f>
        <v>607.37</v>
      </c>
      <c r="C34" s="10">
        <f>COUNTIF(Churn!$A:$A,A34)</f>
        <v>1</v>
      </c>
      <c r="D34" s="8">
        <f>SUM($B$2:B34)/$B$39</f>
        <v>0.98119016512818313</v>
      </c>
    </row>
    <row r="35" spans="1:4" x14ac:dyDescent="0.25">
      <c r="A35" s="1" t="s">
        <v>68</v>
      </c>
      <c r="B35" s="4">
        <f>SUMIF(Churn!$A:$A,A35,Churn!$F:$F)</f>
        <v>583.33000000000004</v>
      </c>
      <c r="C35" s="10">
        <f>COUNTIF(Churn!$A:$A,A35)</f>
        <v>1</v>
      </c>
      <c r="D35" s="8">
        <f>SUM($B$2:B35)/$B$39</f>
        <v>0.98769715166377525</v>
      </c>
    </row>
    <row r="36" spans="1:4" x14ac:dyDescent="0.25">
      <c r="A36" s="1" t="s">
        <v>70</v>
      </c>
      <c r="B36" s="4">
        <f>SUMIF(Churn!$A:$A,A36,Churn!$F:$F)</f>
        <v>480</v>
      </c>
      <c r="C36" s="10">
        <f>COUNTIF(Churn!$A:$A,A36)</f>
        <v>1</v>
      </c>
      <c r="D36" s="8">
        <f>SUM($B$2:B36)/$B$39</f>
        <v>0.99305150260935371</v>
      </c>
    </row>
    <row r="37" spans="1:4" x14ac:dyDescent="0.25">
      <c r="A37" s="1" t="s">
        <v>71</v>
      </c>
      <c r="B37" s="4">
        <f>SUMIF(Churn!$A:$A,A37,Churn!$F:$F)</f>
        <v>320</v>
      </c>
      <c r="C37" s="10">
        <f>COUNTIF(Churn!$A:$A,A37)</f>
        <v>1</v>
      </c>
      <c r="D37" s="8">
        <f>SUM($B$2:B37)/$B$39</f>
        <v>0.99662106990640587</v>
      </c>
    </row>
    <row r="38" spans="1:4" x14ac:dyDescent="0.25">
      <c r="A38" s="1" t="s">
        <v>72</v>
      </c>
      <c r="B38" s="4">
        <f>SUMIF(Churn!$A:$A,A38,Churn!$F:$F)</f>
        <v>302.91000000000003</v>
      </c>
      <c r="C38" s="10">
        <f>COUNTIF(Churn!$A:$A,A38)</f>
        <v>1</v>
      </c>
      <c r="D38" s="8">
        <f>SUM($B$2:B38)/$B$39</f>
        <v>1</v>
      </c>
    </row>
    <row r="39" spans="1:4" ht="13" x14ac:dyDescent="0.3">
      <c r="A39" s="2" t="s">
        <v>73</v>
      </c>
      <c r="B39" s="5">
        <f>SUM(B2:B38)</f>
        <v>89646.719999999987</v>
      </c>
      <c r="C39" s="11">
        <f>SUM(C2:C38)</f>
        <v>39</v>
      </c>
    </row>
    <row r="41" spans="1:4" ht="13" x14ac:dyDescent="0.3">
      <c r="A41" s="6" t="s">
        <v>110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214B1-5BB3-4444-A31D-184B265EA398}">
  <dimension ref="A1:J11"/>
  <sheetViews>
    <sheetView workbookViewId="0"/>
  </sheetViews>
  <sheetFormatPr defaultRowHeight="12.5" x14ac:dyDescent="0.25"/>
  <cols>
    <col min="1" max="2" width="18.6328125" style="1" customWidth="1"/>
    <col min="3" max="5" width="14.6328125" style="1" customWidth="1"/>
    <col min="6" max="7" width="15.6328125" style="1" customWidth="1"/>
    <col min="8" max="8" width="17.6328125" style="1" customWidth="1"/>
    <col min="9" max="9" width="18.6328125" style="1" customWidth="1"/>
    <col min="10" max="10" width="15.6328125" style="1" customWidth="1"/>
    <col min="11" max="16384" width="8.7265625" style="1"/>
  </cols>
  <sheetData>
    <row r="1" spans="1:10" ht="13" x14ac:dyDescent="0.25">
      <c r="A1" s="3" t="s">
        <v>2</v>
      </c>
      <c r="B1" s="3" t="s">
        <v>111</v>
      </c>
      <c r="C1" s="3" t="s">
        <v>112</v>
      </c>
      <c r="D1" s="3" t="s">
        <v>113</v>
      </c>
      <c r="E1" s="3" t="s">
        <v>114</v>
      </c>
      <c r="F1" s="3" t="s">
        <v>99</v>
      </c>
      <c r="G1" s="3" t="s">
        <v>115</v>
      </c>
      <c r="H1" s="3" t="s">
        <v>116</v>
      </c>
      <c r="I1" s="3" t="s">
        <v>117</v>
      </c>
      <c r="J1" s="3" t="s">
        <v>118</v>
      </c>
    </row>
    <row r="2" spans="1:10" x14ac:dyDescent="0.25">
      <c r="A2" s="1" t="s">
        <v>36</v>
      </c>
      <c r="B2" s="4">
        <v>4815.29</v>
      </c>
      <c r="C2" s="4">
        <v>3301.64</v>
      </c>
      <c r="D2" s="4">
        <v>225.32499999999899</v>
      </c>
      <c r="E2" s="4">
        <v>-4985.29</v>
      </c>
      <c r="F2" s="4">
        <v>-1693.5216666670001</v>
      </c>
      <c r="G2" s="4">
        <v>-5119.17</v>
      </c>
      <c r="H2" s="4">
        <f t="shared" ref="H2:H7" si="0">SUM(B2:G2)</f>
        <v>-3455.7266666670012</v>
      </c>
      <c r="I2" s="4">
        <v>1325910.4623666699</v>
      </c>
      <c r="J2" s="10">
        <v>470</v>
      </c>
    </row>
    <row r="3" spans="1:10" x14ac:dyDescent="0.25">
      <c r="A3" s="1" t="s">
        <v>16</v>
      </c>
      <c r="B3" s="4">
        <v>13662.66</v>
      </c>
      <c r="C3" s="4">
        <v>10796.99</v>
      </c>
      <c r="D3" s="4">
        <v>1889.36916666667</v>
      </c>
      <c r="E3" s="4">
        <v>0</v>
      </c>
      <c r="F3" s="4">
        <v>-22881.82</v>
      </c>
      <c r="G3" s="4">
        <v>-13233.29</v>
      </c>
      <c r="H3" s="4">
        <f t="shared" si="0"/>
        <v>-9766.0908333333282</v>
      </c>
      <c r="I3" s="4">
        <v>1320291.60060001</v>
      </c>
      <c r="J3" s="10">
        <v>479</v>
      </c>
    </row>
    <row r="4" spans="1:10" x14ac:dyDescent="0.25">
      <c r="A4" s="1" t="s">
        <v>34</v>
      </c>
      <c r="B4" s="4">
        <v>14361.57</v>
      </c>
      <c r="C4" s="4">
        <v>7665.44</v>
      </c>
      <c r="D4" s="4">
        <v>813.30249999933505</v>
      </c>
      <c r="E4" s="4">
        <v>-818.96</v>
      </c>
      <c r="F4" s="4">
        <v>-561.54</v>
      </c>
      <c r="G4" s="4">
        <v>-4069.8697999999999</v>
      </c>
      <c r="H4" s="4">
        <f t="shared" si="0"/>
        <v>17389.942699999334</v>
      </c>
      <c r="I4" s="4">
        <v>1337681.5416333401</v>
      </c>
      <c r="J4" s="10">
        <v>486</v>
      </c>
    </row>
    <row r="5" spans="1:10" x14ac:dyDescent="0.25">
      <c r="A5" s="1" t="s">
        <v>104</v>
      </c>
      <c r="B5" s="4">
        <v>2279.96</v>
      </c>
      <c r="C5" s="4">
        <v>837.9</v>
      </c>
      <c r="D5" s="4">
        <v>-339.75833334566698</v>
      </c>
      <c r="E5" s="4">
        <v>56.41</v>
      </c>
      <c r="F5" s="4">
        <v>0</v>
      </c>
      <c r="G5" s="4">
        <v>-157.28</v>
      </c>
      <c r="H5" s="4">
        <f t="shared" si="0"/>
        <v>2677.2316666543329</v>
      </c>
      <c r="I5" s="4">
        <v>1340358.7933</v>
      </c>
      <c r="J5" s="10">
        <v>484</v>
      </c>
    </row>
    <row r="6" spans="1:10" x14ac:dyDescent="0.25">
      <c r="A6" s="1" t="s">
        <v>21</v>
      </c>
      <c r="B6" s="4">
        <v>6849.4</v>
      </c>
      <c r="C6" s="4">
        <v>504.4</v>
      </c>
      <c r="D6" s="4">
        <v>6940.9251999993303</v>
      </c>
      <c r="E6" s="4">
        <v>391.44</v>
      </c>
      <c r="F6" s="4">
        <v>-12235.12</v>
      </c>
      <c r="G6" s="4">
        <v>-13849.484166667</v>
      </c>
      <c r="H6" s="4">
        <f t="shared" si="0"/>
        <v>-11398.438966667671</v>
      </c>
      <c r="I6" s="4">
        <v>1328960.3543333299</v>
      </c>
      <c r="J6" s="10">
        <v>487</v>
      </c>
    </row>
    <row r="7" spans="1:10" x14ac:dyDescent="0.25">
      <c r="A7" s="1" t="s">
        <v>11</v>
      </c>
      <c r="B7" s="4">
        <v>2931.66</v>
      </c>
      <c r="C7" s="4">
        <v>3088.12</v>
      </c>
      <c r="D7" s="4">
        <v>0</v>
      </c>
      <c r="E7" s="4">
        <v>-391.44</v>
      </c>
      <c r="F7" s="4">
        <v>-16259.92</v>
      </c>
      <c r="G7" s="4">
        <v>-18501.310000000001</v>
      </c>
      <c r="H7" s="4">
        <f t="shared" si="0"/>
        <v>-29132.89</v>
      </c>
      <c r="I7" s="4">
        <v>1299827.46433333</v>
      </c>
      <c r="J7" s="10">
        <v>484</v>
      </c>
    </row>
    <row r="8" spans="1:10" ht="13" x14ac:dyDescent="0.3">
      <c r="A8" s="2" t="s">
        <v>105</v>
      </c>
      <c r="B8" s="5">
        <f t="shared" ref="B8:H8" si="1">SUM(B2:B7)</f>
        <v>44900.540000000008</v>
      </c>
      <c r="C8" s="5">
        <f t="shared" si="1"/>
        <v>26194.49</v>
      </c>
      <c r="D8" s="5">
        <f t="shared" si="1"/>
        <v>9529.1635333196682</v>
      </c>
      <c r="E8" s="5">
        <f t="shared" si="1"/>
        <v>-5747.84</v>
      </c>
      <c r="F8" s="5">
        <f t="shared" si="1"/>
        <v>-53631.921666666996</v>
      </c>
      <c r="G8" s="5">
        <f t="shared" si="1"/>
        <v>-54930.403966667</v>
      </c>
      <c r="H8" s="5">
        <f t="shared" si="1"/>
        <v>-33685.972100014333</v>
      </c>
      <c r="I8" s="4"/>
    </row>
    <row r="9" spans="1:10" ht="13" x14ac:dyDescent="0.3">
      <c r="A9" s="2" t="s">
        <v>119</v>
      </c>
      <c r="B9" s="5"/>
      <c r="C9" s="5"/>
      <c r="D9" s="5"/>
      <c r="E9" s="5"/>
      <c r="F9" s="5"/>
      <c r="G9" s="5"/>
      <c r="H9" s="5"/>
      <c r="I9" s="5">
        <f>AVERAGE(I2:I7)</f>
        <v>1325505.0360944469</v>
      </c>
      <c r="J9" s="12">
        <f>AVERAGE(J2:J7)</f>
        <v>481.66666666666669</v>
      </c>
    </row>
    <row r="11" spans="1:10" ht="13" x14ac:dyDescent="0.3">
      <c r="A11" s="6" t="s">
        <v>120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E827D-BED3-4756-B275-9AFCC93772A3}">
  <dimension ref="A1:F7"/>
  <sheetViews>
    <sheetView workbookViewId="0">
      <pane ySplit="1" topLeftCell="A2" activePane="bottomLeft" state="frozen"/>
      <selection pane="bottomLeft" activeCell="A2" sqref="A2"/>
    </sheetView>
  </sheetViews>
  <sheetFormatPr defaultRowHeight="12.5" x14ac:dyDescent="0.25"/>
  <cols>
    <col min="1" max="1" width="24.6328125" style="1" customWidth="1"/>
    <col min="2" max="2" width="36.6328125" style="1" customWidth="1"/>
    <col min="3" max="3" width="70.6328125" style="1" customWidth="1"/>
    <col min="4" max="4" width="14.6328125" style="1" customWidth="1"/>
    <col min="5" max="5" width="40.6328125" style="1" customWidth="1"/>
    <col min="6" max="6" width="34.6328125" style="1" customWidth="1"/>
    <col min="7" max="16384" width="8.7265625" style="1"/>
  </cols>
  <sheetData>
    <row r="1" spans="1:6" ht="13" x14ac:dyDescent="0.25">
      <c r="A1" s="3" t="s">
        <v>121</v>
      </c>
      <c r="B1" s="3" t="s">
        <v>122</v>
      </c>
      <c r="C1" s="3" t="s">
        <v>123</v>
      </c>
      <c r="D1" s="3" t="s">
        <v>124</v>
      </c>
      <c r="E1" s="3" t="s">
        <v>125</v>
      </c>
      <c r="F1" s="3" t="s">
        <v>126</v>
      </c>
    </row>
    <row r="2" spans="1:6" ht="50" x14ac:dyDescent="0.25">
      <c r="A2" s="13" t="s">
        <v>127</v>
      </c>
      <c r="B2" s="13" t="s">
        <v>128</v>
      </c>
      <c r="C2" s="13" t="s">
        <v>129</v>
      </c>
      <c r="D2" s="13" t="s">
        <v>130</v>
      </c>
      <c r="E2" s="13" t="s">
        <v>131</v>
      </c>
      <c r="F2" s="13" t="s">
        <v>132</v>
      </c>
    </row>
    <row r="3" spans="1:6" ht="37.5" x14ac:dyDescent="0.25">
      <c r="A3" s="13" t="s">
        <v>133</v>
      </c>
      <c r="B3" s="13" t="s">
        <v>134</v>
      </c>
      <c r="C3" s="13" t="s">
        <v>135</v>
      </c>
      <c r="D3" s="13" t="s">
        <v>136</v>
      </c>
      <c r="E3" s="13" t="s">
        <v>137</v>
      </c>
      <c r="F3" s="13" t="s">
        <v>138</v>
      </c>
    </row>
    <row r="4" spans="1:6" ht="37.5" x14ac:dyDescent="0.25">
      <c r="A4" s="13" t="s">
        <v>133</v>
      </c>
      <c r="B4" s="13" t="s">
        <v>139</v>
      </c>
      <c r="C4" s="13" t="s">
        <v>140</v>
      </c>
      <c r="D4" s="13" t="s">
        <v>141</v>
      </c>
      <c r="E4" s="13" t="s">
        <v>142</v>
      </c>
      <c r="F4" s="13" t="s">
        <v>143</v>
      </c>
    </row>
    <row r="5" spans="1:6" ht="25" x14ac:dyDescent="0.25">
      <c r="A5" s="13" t="s">
        <v>144</v>
      </c>
      <c r="B5" s="13" t="s">
        <v>145</v>
      </c>
      <c r="C5" s="13" t="s">
        <v>146</v>
      </c>
      <c r="D5" s="13" t="s">
        <v>141</v>
      </c>
      <c r="E5" s="13" t="s">
        <v>147</v>
      </c>
      <c r="F5" s="13" t="s">
        <v>148</v>
      </c>
    </row>
    <row r="6" spans="1:6" ht="37.5" x14ac:dyDescent="0.25">
      <c r="A6" s="13" t="s">
        <v>149</v>
      </c>
      <c r="B6" s="13" t="s">
        <v>150</v>
      </c>
      <c r="C6" s="13" t="s">
        <v>151</v>
      </c>
      <c r="D6" s="13" t="s">
        <v>136</v>
      </c>
      <c r="E6" s="13" t="s">
        <v>152</v>
      </c>
      <c r="F6" s="13" t="s">
        <v>153</v>
      </c>
    </row>
    <row r="7" spans="1:6" ht="50" x14ac:dyDescent="0.25">
      <c r="A7" s="13" t="s">
        <v>154</v>
      </c>
      <c r="B7" s="13" t="s">
        <v>155</v>
      </c>
      <c r="C7" s="13" t="s">
        <v>156</v>
      </c>
      <c r="D7" s="13" t="s">
        <v>141</v>
      </c>
      <c r="E7" s="13" t="s">
        <v>157</v>
      </c>
      <c r="F7" s="13" t="s">
        <v>158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Resumo</vt:lpstr>
      <vt:lpstr>Churn</vt:lpstr>
      <vt:lpstr>Downsell</vt:lpstr>
      <vt:lpstr>Motivo x Produto</vt:lpstr>
      <vt:lpstr>Mês a mês</vt:lpstr>
      <vt:lpstr>Por cliente</vt:lpstr>
      <vt:lpstr>Movimentação MRR</vt:lpstr>
      <vt:lpstr>Plano de 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Santos</dc:creator>
  <cp:lastModifiedBy>Julio Santos</cp:lastModifiedBy>
  <dcterms:created xsi:type="dcterms:W3CDTF">2026-09-17T01:03:01Z</dcterms:created>
  <dcterms:modified xsi:type="dcterms:W3CDTF">2026-09-17T11:23:19Z</dcterms:modified>
</cp:coreProperties>
</file>