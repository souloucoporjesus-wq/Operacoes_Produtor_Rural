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maicon.silva\Downloads\"/>
    </mc:Choice>
  </mc:AlternateContent>
  <xr:revisionPtr revIDLastSave="161" documentId="8_{19D47010-4551-4994-A33A-D6DA803551E4}" xr6:coauthVersionLast="47" xr6:coauthVersionMax="47" xr10:uidLastSave="{710160D0-7C0F-433D-9723-DB076DD045C6}"/>
  <bookViews>
    <workbookView xWindow="28680" yWindow="-120" windowWidth="29040" windowHeight="15720" tabRatio="587" firstSheet="4" activeTab="2" xr2:uid="{DE4766BA-68E5-4015-A03C-B2ACD4E19CD0}"/>
  </bookViews>
  <sheets>
    <sheet name="Resumo" sheetId="2" state="hidden" r:id="rId1"/>
    <sheet name="Geral" sheetId="6" r:id="rId2"/>
    <sheet name="Inadimplencia" sheetId="1" r:id="rId3"/>
    <sheet name="Churn" sheetId="4" r:id="rId4"/>
    <sheet name="Em_Negociacao" sheetId="3" r:id="rId5"/>
  </sheets>
  <definedNames>
    <definedName name="_xlnm._FilterDatabase" localSheetId="3" hidden="1">Churn!$B$4:$L$32</definedName>
    <definedName name="_xlnm._FilterDatabase" localSheetId="4" hidden="1">Em_Negociacao!$B$3:$K$13</definedName>
    <definedName name="_xlnm._FilterDatabase" localSheetId="2" hidden="1">Inadimplencia!$B$3:$X$29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9" i="1" l="1"/>
  <c r="T28" i="1"/>
  <c r="T27" i="1"/>
  <c r="T26" i="1"/>
  <c r="T25" i="1"/>
  <c r="T24" i="1"/>
  <c r="T23" i="1"/>
  <c r="T22" i="1"/>
  <c r="T21" i="1"/>
  <c r="T20" i="1"/>
  <c r="T19" i="1"/>
  <c r="T17" i="1"/>
  <c r="T16" i="1"/>
  <c r="T15" i="1"/>
  <c r="T14" i="1"/>
  <c r="T13" i="1"/>
  <c r="T12" i="1"/>
  <c r="T11" i="1"/>
  <c r="T10" i="1"/>
  <c r="T9" i="1"/>
  <c r="T8" i="1"/>
  <c r="T6" i="1"/>
  <c r="T5" i="1"/>
  <c r="T4" i="1"/>
  <c r="C5" i="6" l="1"/>
  <c r="D5" i="6"/>
  <c r="J6" i="6"/>
  <c r="J7" i="6"/>
  <c r="J5" i="6"/>
  <c r="I6" i="6"/>
  <c r="I7" i="6"/>
  <c r="I5" i="6"/>
  <c r="G7" i="6"/>
  <c r="F7" i="6"/>
  <c r="D7" i="6"/>
  <c r="C7" i="6"/>
  <c r="G6" i="6"/>
  <c r="G5" i="6"/>
  <c r="F6" i="6"/>
  <c r="F5" i="6"/>
  <c r="D6" i="6"/>
  <c r="C6" i="6"/>
  <c r="L7" i="6" l="1"/>
  <c r="M7" i="6"/>
  <c r="L6" i="6"/>
  <c r="M5" i="6"/>
  <c r="M6" i="6"/>
  <c r="J8" i="6"/>
  <c r="L5" i="6"/>
  <c r="F8" i="6"/>
  <c r="G8" i="6"/>
  <c r="C8" i="6"/>
  <c r="D8" i="6"/>
  <c r="I8" i="6"/>
  <c r="B3" i="4"/>
  <c r="I3" i="4"/>
  <c r="B2" i="3"/>
  <c r="H2" i="3"/>
  <c r="B2" i="1"/>
  <c r="L8" i="6" l="1"/>
  <c r="M8" i="6"/>
  <c r="J9" i="6" s="1"/>
  <c r="H2" i="1"/>
  <c r="R2" i="1"/>
  <c r="D9" i="6" l="1"/>
  <c r="G9" i="6"/>
  <c r="M9" i="6" l="1"/>
  <c r="S18" i="1"/>
  <c r="T18" i="1" s="1"/>
  <c r="S7" i="1"/>
  <c r="T7" i="1" s="1"/>
  <c r="B11" i="2" a="1"/>
  <c r="C13" i="2" s="1"/>
  <c r="S2" i="1" l="1"/>
  <c r="T2" i="1"/>
  <c r="D13" i="2"/>
  <c r="D12" i="2"/>
  <c r="D16" i="2"/>
  <c r="D15" i="2"/>
  <c r="D14" i="2"/>
  <c r="C12" i="2"/>
  <c r="C14" i="2"/>
  <c r="B11" i="2"/>
  <c r="C15" i="2"/>
  <c r="C16" i="2"/>
  <c r="H30" i="2"/>
  <c r="G30" i="2"/>
  <c r="D30" i="2"/>
  <c r="E25" i="2" s="1"/>
  <c r="C30" i="2"/>
  <c r="G11" i="2" a="1"/>
  <c r="I12" i="2" s="1"/>
  <c r="C11" i="2" l="1"/>
  <c r="C17" i="2" s="1"/>
  <c r="D11" i="2"/>
  <c r="D17" i="2" s="1"/>
  <c r="E29" i="2"/>
  <c r="E28" i="2"/>
  <c r="E27" i="2"/>
  <c r="E24" i="2"/>
  <c r="E26" i="2"/>
  <c r="G11" i="2"/>
  <c r="H12" i="2"/>
  <c r="E30" i="2" l="1"/>
  <c r="H11" i="2"/>
  <c r="H13" i="2" s="1"/>
  <c r="I11" i="2"/>
  <c r="I13" i="2" l="1"/>
  <c r="J12" i="2" s="1"/>
  <c r="J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<sst xmlns="http://schemas.openxmlformats.org/spreadsheetml/2006/main" count="785" uniqueCount="346">
  <si>
    <t>Anotações:</t>
  </si>
  <si>
    <t>Dos 63 contratos suspensos R$ 113k:</t>
  </si>
  <si>
    <t>36 Contratos estavam relacionados a Inadimplencia R$ 71.072;</t>
  </si>
  <si>
    <t>22 Contratos em Churn R$ 38k;</t>
  </si>
  <si>
    <t>5 Contratos 'Em Negociaçã' valor 4k;</t>
  </si>
  <si>
    <t>Detalhamento | Apenas Status Inadimplencia</t>
  </si>
  <si>
    <t>Status Geral</t>
  </si>
  <si>
    <t>#</t>
  </si>
  <si>
    <t>R$</t>
  </si>
  <si>
    <t>Produto</t>
  </si>
  <si>
    <t>%</t>
  </si>
  <si>
    <t>Reclassificação</t>
  </si>
  <si>
    <t>R$ Total</t>
  </si>
  <si>
    <t>AGRIMANAGER ERP</t>
  </si>
  <si>
    <t>MY FARM ERP</t>
  </si>
  <si>
    <t>Cumprindo Acordo</t>
  </si>
  <si>
    <t>&lt;&gt;</t>
  </si>
  <si>
    <t>Migração AGM&gt;My Farm</t>
  </si>
  <si>
    <t>Churn</t>
  </si>
  <si>
    <t>Carteira CaR | Estável</t>
  </si>
  <si>
    <t>Recuperado</t>
  </si>
  <si>
    <t>Em validação Dinamara | Vertical Acionada</t>
  </si>
  <si>
    <t>Inadimplencia</t>
  </si>
  <si>
    <t>Em Negociação</t>
  </si>
  <si>
    <t>Total Geral</t>
  </si>
  <si>
    <t>Valor</t>
  </si>
  <si>
    <t>ALIARE CLOUD - PR</t>
  </si>
  <si>
    <t>Geral</t>
  </si>
  <si>
    <t>Contrato</t>
  </si>
  <si>
    <t>Cliente</t>
  </si>
  <si>
    <t>OBS. CS</t>
  </si>
  <si>
    <t>Status Contrato</t>
  </si>
  <si>
    <t>SubStatusContrato</t>
  </si>
  <si>
    <t>R$ Contrato</t>
  </si>
  <si>
    <t>Obs Cobrança</t>
  </si>
  <si>
    <t>Estágio</t>
  </si>
  <si>
    <t>Status CaR</t>
  </si>
  <si>
    <t>Dinamara</t>
  </si>
  <si>
    <t>Observação Vertical</t>
  </si>
  <si>
    <t>Perfil cliente</t>
  </si>
  <si>
    <t>Risco Financeiro</t>
  </si>
  <si>
    <t>Dias de Atraso Atual</t>
  </si>
  <si>
    <t>(R$) Débito faturado</t>
  </si>
  <si>
    <t>(R$) Valor represado</t>
  </si>
  <si>
    <t>Total Dívida (R$)</t>
  </si>
  <si>
    <t>Qtde Pcs Represadas</t>
  </si>
  <si>
    <t>Data suspensão</t>
  </si>
  <si>
    <t>Telemetria</t>
  </si>
  <si>
    <t>Suporte Bloqueado</t>
  </si>
  <si>
    <t>Conexão E-mail</t>
  </si>
  <si>
    <t>30003232-5</t>
  </si>
  <si>
    <t>ALZIR PIMENTEL AGUIAR NETO IE: 19.569.743-0</t>
  </si>
  <si>
    <t>Reuniao 25/09 às 15:00 para tratar dos débitos.</t>
  </si>
  <si>
    <t>SUSPENSO</t>
  </si>
  <si>
    <t>INADIMPLENCIA</t>
  </si>
  <si>
    <t>Inadimplente - Acordo em andamento com Averbach (10x). Sem previsão de negociação das parcelas represadas. Em 20/04/2026 vertical ficou ciente da negociação em andamento.</t>
  </si>
  <si>
    <t>Carteira Cobrança</t>
  </si>
  <si>
    <t>Cumprindo Acordo;</t>
  </si>
  <si>
    <t>Parcelas represadas - R$ 43.792,20 (05/2026 a 09/26) fora acordo</t>
  </si>
  <si>
    <t>Recorrente em renegociações não cumpridas</t>
  </si>
  <si>
    <t xml:space="preserve">Risco Alto: Score 239. R$ 54,06 Milhões em anotações negativas , sendo R$ 38,96 milhões em instituições financeiras, Protesto ativo no valor de R$ 19,47 mil. </t>
  </si>
  <si>
    <t>Não propor Flexibilização 2027</t>
  </si>
  <si>
    <t>30002424-5</t>
  </si>
  <si>
    <t>MARCOS AURELIO SINOPOLI</t>
  </si>
  <si>
    <t xml:space="preserve">Acordo realizado com a cliente 18/09. </t>
  </si>
  <si>
    <t>Acordo em andamento - Reativação ocorrerá após cumprimento total da renegociação. Em 20/04/2026 solicitado de acordo da vertical para negativação.</t>
  </si>
  <si>
    <t>Parcelas represadas - R$ 13.521,08 (06/2026 a 09/26) fora acordo</t>
  </si>
  <si>
    <t>Risco Alto: Score 280. R$ 14,06 Milhões em anotações negativas, sendo R$ 9,72 milhões em instituições financeiras, Protesto ativo no valor de R$ 6,75 milhões. 8 Ações judiciais, sendo 2 execuções.</t>
  </si>
  <si>
    <t>30001698-1</t>
  </si>
  <si>
    <t>JOAO BATISTA CONSENTINI FILHO I.E.11.457.541-0</t>
  </si>
  <si>
    <t>Acordo em andamento - Reativação ocorrerá após cumprimento total da renegociação. Em 09/07/2026 vertical solicitou retorno para negociação com cliente.</t>
  </si>
  <si>
    <t>Parcelas represadas - R$ 10.688,86 (08/26 e 09/26) fora acordo</t>
  </si>
  <si>
    <t>Risco Alto: Score 314. R$ 389,33 Milhões em anotações negativas, sendo R$ 299,56 milhões em instituições financeiras, Protesto ativo no valor de R$ 5,78 milhões. 17 Ações judiciais, sendo 13 execuções.</t>
  </si>
  <si>
    <t>30005234-5</t>
  </si>
  <si>
    <t>VITOR MARCIO DUMONCEL E OUTROS IE: 13.890.735-8</t>
  </si>
  <si>
    <t>Acordo realizado, entrada de 10 k pago 23/09</t>
  </si>
  <si>
    <t>Acordo em andamento - Realizamos um novo acordo. Entrada – 23/09/2026: R$ 10.000,00 – PAGA E CONFIRMADA
Parcela 1 – 25/10/2026: R$ 8.209,93
Parcela 2 – 25/11/2026: R$ 8.209,93
Parcela 3 – 25/12/2026: R$ 8.209,93</t>
  </si>
  <si>
    <t>Inadimplência - em negociação</t>
  </si>
  <si>
    <t>Parcelas represadas - R$ 9.753,20 (08/26 e 09/26) fora acordo</t>
  </si>
  <si>
    <t>Pagamento previsto para  o dia 18/09.</t>
  </si>
  <si>
    <t>Primeira renegociação realizada</t>
  </si>
  <si>
    <t>Risco Alto: Score 330. R$ 28,75 Milhões em anotações negativas, sendo R$ 20,10 milhões em instituições financeiras, Protesto ativo no valor de R$ 1,83 milhões. 06 Ações judiciais, sendo 13 execuções.</t>
  </si>
  <si>
    <t>30002744-5</t>
  </si>
  <si>
    <t>PETRAS DE LIMA TELLES I.E 153.832.963</t>
  </si>
  <si>
    <t>Sem retorno nas tentativas de contato com a cliente.</t>
  </si>
  <si>
    <t>Parcelas faturadas regularizadas com a Averbach, tentando contato para negociação das parcelas represadas. Em 31/08/2026 vertical solicitou contato com cliente para negociação.</t>
  </si>
  <si>
    <t>Sem detalhe (importação)</t>
  </si>
  <si>
    <t>Parcelas represadas desde 09/2025. Não negativado.</t>
  </si>
  <si>
    <t>Cliente parou de responder tentativas de contato.</t>
  </si>
  <si>
    <t>Inadimplência recorrente, regularizou débito na Averbach</t>
  </si>
  <si>
    <t>Risco Alto: Score bloqueado. R$ 61,88 Milhões em anotações negativas, sendo R$ 51,77 milhões em instituições financeiras, Protesto ativo no valor de R$ 3,15 milhões. 08 Ações judiciais, sendo 7 execuções.</t>
  </si>
  <si>
    <t>30003903-5</t>
  </si>
  <si>
    <t>PEDRO HENRIQUE PINTO FADEL IE: 95045009-66</t>
  </si>
  <si>
    <t>Em negociação, enviei a seguinte proposta, está em análise pelo cliente. Ficaria da seguinte maneira:
O débito hoje está em R$ 35.736,48
Parcelaríamos em 5x de R$ 3.573,64 que se encerram em Fevereiro, e ai o restante do pgto, ficaria para 30/03 do ano que vem.</t>
  </si>
  <si>
    <t>Inadimplente - Enviado cobrança, sem retorno. Em 09/01/2026 solicitado de acordo da vertical para negativação.</t>
  </si>
  <si>
    <t>Inadimplência</t>
  </si>
  <si>
    <t>Parcelas represadas desde 02/2026. Não negativado.</t>
  </si>
  <si>
    <t>Em contato com a cliente no whatsapp, não concorda com o valor do débito pois tentou renegociar redução anteriormente.</t>
  </si>
  <si>
    <t>Primeira renegociação cumprida na totalidade</t>
  </si>
  <si>
    <t>Risco Alto: Score bloqueado. R$ 89,29 Milhões em anotações negativas, sendo R$72,09 milhões em instituições financeiras, Protesto ativo no valor de R$ 3,98 milhões. 08 Ações judiciais (execuções).</t>
  </si>
  <si>
    <t>30006200-5</t>
  </si>
  <si>
    <t>LUIZ MOREIRA ROCHA</t>
  </si>
  <si>
    <t>Pgto entrada realizado, negociado em 3x</t>
  </si>
  <si>
    <t>Realizou acordo. Entrada + 2x. Entrada paga e confirmada</t>
  </si>
  <si>
    <t>Reiterado Cobrança (e-mail-whatsapp).</t>
  </si>
  <si>
    <t>Cliente solicitou valores atualizados e dados para pgto, enviado valores com desconto porém não retornou mais.</t>
  </si>
  <si>
    <t>Inadimplência recorrente, pouco tempo em atraso</t>
  </si>
  <si>
    <t>Em negociação - Proposta para quitação a vista com 15% de desconto enviada.</t>
  </si>
  <si>
    <t>30003342-5</t>
  </si>
  <si>
    <t>NOVA FRONTEIRA AGROPECUARIA LTDA</t>
  </si>
  <si>
    <t>Inadimplente - Enviado cobrança, sem retorno. Em 02/07/2026 solicitado de acordo da vertical para negativação.</t>
  </si>
  <si>
    <t>Em contato com a cliente no whatsapp. Sem sucesso nas tentativas de contato.</t>
  </si>
  <si>
    <t>Inadimplência recorrente</t>
  </si>
  <si>
    <t>Risco Médio: Score 285. Sem restrições negativas. Capital social de R$ 25. Empresa contituída em 2022.</t>
  </si>
  <si>
    <t>Flexibilizar para 2027, com entrada de 20%</t>
  </si>
  <si>
    <t>30000710-5</t>
  </si>
  <si>
    <t>PAULO MASSAYOSHI MIZOTE</t>
  </si>
  <si>
    <t>Pagou</t>
  </si>
  <si>
    <t>Realizaram pagamento total</t>
  </si>
  <si>
    <t>Primeira  atraso</t>
  </si>
  <si>
    <t>Baixo Risco: Score 717. Sem restrições negativas.</t>
  </si>
  <si>
    <t>Em acordo de Pagamento Time CaR</t>
  </si>
  <si>
    <t>30006069-5</t>
  </si>
  <si>
    <t>PABLO RAFAEL SCNHEIDER</t>
  </si>
  <si>
    <t>Renegociação da forma de pgto - Cliente acordou semestralmente mas foi lançado como mensal.</t>
  </si>
  <si>
    <t>Pagou os débitos, falta só ajustar a cobrança para semestral, aguardando retorno do cliente.</t>
  </si>
  <si>
    <t>Em 27/08/2026 vertical solicitou retorno ao cliente para negociação. Cliente não concorda com a cobrança mensal da assinatura, pois foi negociado a cobrança semestral.</t>
  </si>
  <si>
    <t>Baixo Risco: Score 821. Sem restrições negativas.</t>
  </si>
  <si>
    <t>30006056-5</t>
  </si>
  <si>
    <t>JUAREZ CARLOS SILVA FILHO</t>
  </si>
  <si>
    <t>Pago</t>
  </si>
  <si>
    <t>Cliente realizou o pagamento.</t>
  </si>
  <si>
    <t>Realizou o pgto  via pix 14/09</t>
  </si>
  <si>
    <t>30007162-5</t>
  </si>
  <si>
    <t xml:space="preserve"> ANA PAULA BANDEIRA DE LIMA</t>
  </si>
  <si>
    <t>No geral, pagamentos em dia. Pulo de parcela.</t>
  </si>
  <si>
    <t>Realizou o pgto via pix</t>
  </si>
  <si>
    <t>30003568-5</t>
  </si>
  <si>
    <t>HENRIQUE REGES DE CARVALHO</t>
  </si>
  <si>
    <t>Sem retorno do cliente. Débito está com escritório de cobrança também.</t>
  </si>
  <si>
    <t>Inadimplente - Enviado cobrança, sem retorno. Em 10/08/2026 enviado solicitação para suspender plataforma.</t>
  </si>
  <si>
    <t>Solicitado bloqueio da plataforma em 10/08/2026.</t>
  </si>
  <si>
    <t>30004027-5</t>
  </si>
  <si>
    <t>JOAO EVERTON PAULINO RAMOS ALVES - IE 002448697.03-57</t>
  </si>
  <si>
    <t>Cliente aceitou proposta de 15% de desconto no débito. Previsão de pgto 18/09</t>
  </si>
  <si>
    <t>Pgto previsto para dia 18/09</t>
  </si>
  <si>
    <t>30005824-5</t>
  </si>
  <si>
    <t>CHRISTOPHER TERRENGUI IE 138736561</t>
  </si>
  <si>
    <t>Em contato com cliente, me questionou valor dos débitos, levantei planilha com as infos e enviei para que ele pudesse avaliar, ele parou de dar retorno após isso.</t>
  </si>
  <si>
    <t>Inadimplente - Sem previsão de pagamento. Em 09/11/2025 solicitado informação quanto a implantação devido ao débito em aberto.</t>
  </si>
  <si>
    <t>Verificar de acordo da Vertical</t>
  </si>
  <si>
    <t>Projeto com pendência, tem bloqueio para negativação junto ao Serasa.</t>
  </si>
  <si>
    <t>30003178-5</t>
  </si>
  <si>
    <t>TELLUS AGROPECUARIA LTDA</t>
  </si>
  <si>
    <t>SOLICITARAM O CANCELAMENTO - NÃO POSSUEM MAIS PARCELAS REPRESADAS A SEREM COBRADAS.</t>
  </si>
  <si>
    <t>Inadimplente - Sem previsão de pagamento. Em 14/11/2025 solicitado de acordo da vertical para negativação.</t>
  </si>
  <si>
    <t>01/12/2025 liberado negativação pela vertical. *NFs 150640 / 152385 / 154397  em processo de cancelamento.*</t>
  </si>
  <si>
    <t>No geral, pagamentos em dia</t>
  </si>
  <si>
    <t>Baixo Risco: Score 570. Protesto ativo no valor de R$ 2.757,44.</t>
  </si>
  <si>
    <t>30006062-5</t>
  </si>
  <si>
    <t>FALCON AGRICOLA LTDA</t>
  </si>
  <si>
    <t>Cliente solicitou cancelamento por email.</t>
  </si>
  <si>
    <t>Inadimplente - Sem previsão de pagamento. Em 13/03/2026 enviado solicitação para suspender plataforma.</t>
  </si>
  <si>
    <t>19/03/2026 liberado negativação pela vertical.</t>
  </si>
  <si>
    <t>30006051-5</t>
  </si>
  <si>
    <t>FYLLIPE CARVALHO FREITAS BARROS</t>
  </si>
  <si>
    <t>Sem retorno do cliente nas tentativas de contato</t>
  </si>
  <si>
    <t>Inadimplente - Sem previsão de pagamento. Em 28/01/2026 enviado solicitação para suspender plataforma.</t>
  </si>
  <si>
    <t>Escritório AVERBACH</t>
  </si>
  <si>
    <t>17/02/2026 liberado negativação pela vertical. Sem retorno nas tentativas de contato.</t>
  </si>
  <si>
    <t>Sem parcelas pagas.</t>
  </si>
  <si>
    <t>30005717-5</t>
  </si>
  <si>
    <t>THEODORO RICARDO DE ANDRADE</t>
  </si>
  <si>
    <t>Pgto integral das pendencias 16/09 [Não houve pagamento dos valores represados] 
Houve tentativa de negociação e retenção junto à cliente, com alinhamento com o Financeiro para avaliarmos alternativas para os valores represados, considerando que a base estava suspensa e que a cliente já vinha buscando, há algum tempo, uma solução junto à equipe de cobranças, sem sucesso.
A dificuldade em conduzir a negociação, somada ao desgaste gerado pelas tentativas anteriores de regularização e à insatisfação da cliente com a cobrança de valores referentes ao período em que permaneceu com o acesso bloqueado, comprometeu a possibilidade de acordo. Mesmo com as condições especiais disponibilizadas, a cliente optou por realizar apenas o pagamento das pendências faturadas, não aceitou negociar os valores represados e, posteriormente, formalizou o cancelamento, informando que pretende tratar judicialmente os valores remanescentes.</t>
  </si>
  <si>
    <t>Inadimplente - Sem previsão de pagamento. Em 16/07/2026 vertical solicitou contato com cliente para negociação.</t>
  </si>
  <si>
    <t>Em 13/01/2026 solicitamos bloqueio da plataforma e reiteramos em 14/01. Em 28/01/2026 solicitamos apoio a vertical quanto a informação de telefone para contato com cliente, porém sem retorno. Em 16/07/2026 solicitaram retorno ao cliente para negociação.</t>
  </si>
  <si>
    <t>Primeira  atraso. Pulo de parcela.</t>
  </si>
  <si>
    <t>30005936-5</t>
  </si>
  <si>
    <t>SILVANO ROGER DA SILVA</t>
  </si>
  <si>
    <t>Sem retorno do cliente (3x)</t>
  </si>
  <si>
    <t>Inadimplente - Sem previsão de pagamento. Em 26/12/2025 enviado solicitação para suspender plataforma.</t>
  </si>
  <si>
    <t>Solicitado bloqueio da plataforma em 26/12/2025.</t>
  </si>
  <si>
    <t>Primeiro atraso.</t>
  </si>
  <si>
    <t>30005102-5</t>
  </si>
  <si>
    <t>JOSE ROSA DOS SANTOS</t>
  </si>
  <si>
    <t>Em negociação</t>
  </si>
  <si>
    <t>Inadimplente - Sem previsão de pagamento. Em 11/11/2025 enviado solicitação para suspender plataforma.</t>
  </si>
  <si>
    <t>Em 15/01/2026 solicitamos de acordo para negativação.</t>
  </si>
  <si>
    <t xml:space="preserve">Inadimplência recorrente. </t>
  </si>
  <si>
    <t>30001886-5</t>
  </si>
  <si>
    <t>RONI CESAR FERREIRA ALVES MACHADO</t>
  </si>
  <si>
    <t>Acredito que a empresa fechou, cliente vinculado ao grupo maroq que está em RJ pelo TJMT.</t>
  </si>
  <si>
    <t>Inadimplente - Sem previsão de pagamento. Em 17/07/2026 solicitado apoio a vertical quanto a novos telefones de contato.</t>
  </si>
  <si>
    <t>Em 20/07/2026 solicitamos de acordo para negativação porém sem resposta. Tentando contato com cliente porém whatsapp business informa que estão fechados, e não atendem ligação.</t>
  </si>
  <si>
    <t>30003885-5</t>
  </si>
  <si>
    <t>MARCELO BENEDITO LARA</t>
  </si>
  <si>
    <t>Sem retorno do cliente (por email)</t>
  </si>
  <si>
    <t>Inadimplente - Sem previsão de pagamento. Em 29/07/2025 enviado solicitação para suspender plataforma.</t>
  </si>
  <si>
    <t>Solicitado bloqueio da plataforma em 24/07/2025. Em 05/08/2025 liberado negativação pela vertical.</t>
  </si>
  <si>
    <t>30001840-5</t>
  </si>
  <si>
    <t>MARCIA ANGELICA BARBOZA CORADINI IE 13898617-7</t>
  </si>
  <si>
    <t>Inadimplente - Sem previsão de pagamento. Em 30/06/2026 enviado solicitação para suspender plataforma.</t>
  </si>
  <si>
    <t>Em 02/01/2026 solicitamos de acordo para negativação, vertical ficou de tentar contato antes da negativação porém sem retorno, seguimos com a negativação.</t>
  </si>
  <si>
    <t>30007418-5</t>
  </si>
  <si>
    <t>LUIZ ESPINDULA CARDOSO NETO</t>
  </si>
  <si>
    <t>Cliente solicitou churn para projetos e sumiu, já tentamos contato diversas vezes, foi repassado que ele precisa solicitar formalmente por email mas ainda não foi enviado o email.</t>
  </si>
  <si>
    <t>Inadimplente - Enviado cobrança, sem retorno.</t>
  </si>
  <si>
    <t>O cliente solicitou cancelamento para o time de projetos (ainda estava em implantação), porém após isso deixou de responder tanto projetos, quanto CS, sem abertura para tentativa de reversão e ainda não formalizou o cancelamento.</t>
  </si>
  <si>
    <t>Primeiras parcelas em atraso.</t>
  </si>
  <si>
    <t>30001803-5</t>
  </si>
  <si>
    <t>MOACYR BRUNETTA</t>
  </si>
  <si>
    <t>Pgto realizado via pix dia 24/09. Valor integral</t>
  </si>
  <si>
    <t>Anderson Peixoto</t>
  </si>
  <si>
    <t>Pgto realizado. Cliente da central de cobrança</t>
  </si>
  <si>
    <t>Vertical</t>
  </si>
  <si>
    <t>Cód. Contrato</t>
  </si>
  <si>
    <t>OBS CS</t>
  </si>
  <si>
    <t>Situação</t>
  </si>
  <si>
    <t>Substatus (Motivo)</t>
  </si>
  <si>
    <t>Valor (R$)</t>
  </si>
  <si>
    <t>Categoria da Causa</t>
  </si>
  <si>
    <t>Resumo da Anotação</t>
  </si>
  <si>
    <t>Ação de Curadoria</t>
  </si>
  <si>
    <t>PRODUTORES AGRICOLAS</t>
  </si>
  <si>
    <t>30005780-5</t>
  </si>
  <si>
    <t>AGRO SANTA CLARA LTDA</t>
  </si>
  <si>
    <t>RISCO CHURN</t>
  </si>
  <si>
    <t>Churn / distrato</t>
  </si>
  <si>
    <t>CHURN - ASSINATURA DE DISTRATO Cliente solicitou o cancelamento do contrato (e-mail: natanael@7campos.com.br). Estamos aguardando retorno do CS</t>
  </si>
  <si>
    <t>30006028-5</t>
  </si>
  <si>
    <t>LUCIVAL PORTILHO ARANTES IE 29.474.545-9</t>
  </si>
  <si>
    <t>Cliente pagou hoje dia 16/09 15mil reais.</t>
  </si>
  <si>
    <t>CHURN - ASSINATURA DE DISTRATO_x000D_ CLIENTE SOLICITOU O CANCELAMENTO DO CONTRATO</t>
  </si>
  <si>
    <t>Aguardando Pagamento Multa</t>
  </si>
  <si>
    <t>30001494-1</t>
  </si>
  <si>
    <t>PEDRO JOSE BERTUOL</t>
  </si>
  <si>
    <t>Aguardando Assinatura Distrato</t>
  </si>
  <si>
    <t>30003130-5</t>
  </si>
  <si>
    <t>GEMIRO CARAFINI  IE: 11.106.270-5</t>
  </si>
  <si>
    <t>CHURN - ASSINATURA DE DISTRATO_x000D_ CLIENTE SOLICITOU CANCELAMENTO DO CONTRATO</t>
  </si>
  <si>
    <t>30005811-5</t>
  </si>
  <si>
    <t>AUGUSTO CESAR ANDRADE MAIA</t>
  </si>
  <si>
    <t>CHURN - ASSINATURA DE DISTRATO_x000D_ Cliente solicitou o cancelamento do c</t>
  </si>
  <si>
    <t>30005366-5</t>
  </si>
  <si>
    <t>ALEX ROBERTO DOS SANTOS ARRUDA IE: 13714988-3</t>
  </si>
  <si>
    <t>CHURN - ASSINATURA DE DISTRATO_x000D_ Cliente solicitou o cancelamento do contrato</t>
  </si>
  <si>
    <t>Aguardando pagamento de boletos</t>
  </si>
  <si>
    <t>30003665-5</t>
  </si>
  <si>
    <t>TIAGO GODOY VILELA E OUTRO IE: 13.527.389-7</t>
  </si>
  <si>
    <t>30007127-5</t>
  </si>
  <si>
    <t>AGRO ALIANCA LTDA</t>
  </si>
  <si>
    <t>30005213-5</t>
  </si>
  <si>
    <t>FERNANDO LUNARDI E OUTROS IE: 13.554.998-1</t>
  </si>
  <si>
    <t>CHURN</t>
  </si>
  <si>
    <t>Aguardando retorno cliente Multa</t>
  </si>
  <si>
    <t>30003425-5</t>
  </si>
  <si>
    <t>FABIO GIOVANNI MARTINS CARRAPATEIRA IE: 28.801.052-3</t>
  </si>
  <si>
    <t>CHURN - ASSINATURA DE DISTRATO_x000D_ Cliente pagava por resgate. No momento de voltar a pagar pelo sistema, o cliente manifestou o desejo de cancelamento de contrato. Rodrigo Mendonça tratando do cancelamento. Suspenso até conclusão</t>
  </si>
  <si>
    <t>30006243-5</t>
  </si>
  <si>
    <t>30005737-5</t>
  </si>
  <si>
    <t>ORDATA LTDA</t>
  </si>
  <si>
    <t>30005572-5</t>
  </si>
  <si>
    <t>LEANDRO GAI ANVERSA</t>
  </si>
  <si>
    <t>CHURN - ASSINATURA DE DISTRATO Cliente solicitou o cancelamento do contrato. Ticket 795460</t>
  </si>
  <si>
    <t>30005742-5</t>
  </si>
  <si>
    <t>GILIARDE RODRIGUES DA SILVA</t>
  </si>
  <si>
    <t>30005970-5</t>
  </si>
  <si>
    <t>VOLMIR ANTONIO FAVEIRO | I.E. 002638676.00-50</t>
  </si>
  <si>
    <t>CHURN - ASSINATURA DE DISTRATO_x000D_ Cliente solicitou o cancelamento do contrato. E-mail: fazenda@agrosistemas.com.br</t>
  </si>
  <si>
    <t>30005679-5</t>
  </si>
  <si>
    <t>ELDON RICARDO BECKMAMM</t>
  </si>
  <si>
    <t>CHURN - ASSINATURA DE DISTRATO_x000D_ Cliente solicitou o cancelamento do contrato. E-mail: fazendasarandi.mtpa@gmail.com</t>
  </si>
  <si>
    <t>30003080-5</t>
  </si>
  <si>
    <t>LUCIANO JAYME GUIMARAES</t>
  </si>
  <si>
    <t>CHURN - ASSINATURA DE DISTRATO_x000D_ CLIENTE SOLICITOU O CANCELAMENTO DO CONTRATO. TICKET 800613</t>
  </si>
  <si>
    <t>Confirmar distrato e registrar lição de churn</t>
  </si>
  <si>
    <t>30006175-5</t>
  </si>
  <si>
    <t>CLAUDIO MOIZES DECARES</t>
  </si>
  <si>
    <t>30003756-5</t>
  </si>
  <si>
    <t>GERALDO ROBERTO MOSSIGNATO - 13.956.315-6</t>
  </si>
  <si>
    <t>CHURN - ASSINATURA DE DISTRATO_x000D_ CLIENTE SOLICITOU O CANCELAMENTO DO CONTRATO - grupomossignato@gmail.com</t>
  </si>
  <si>
    <t>30004798-5</t>
  </si>
  <si>
    <t>JOSE VALDIR MARTINS VIEIRA IE 11530003-1</t>
  </si>
  <si>
    <t>CHURN - ASSINATURA DE DISTRATO_x000D_ Cliente solicitou o cancelamento (paulobernardo.contabil@gmail.com)</t>
  </si>
  <si>
    <t>30004487-5</t>
  </si>
  <si>
    <t>GIZELLY SANTOS IE 28.852.854-9</t>
  </si>
  <si>
    <t>CHURN - ASSINATURA DE DISTRATO_x000D_ cliente solicitou o cancelamento do contrato</t>
  </si>
  <si>
    <t>30004420-5</t>
  </si>
  <si>
    <t>ALMIR DAL ROVERE IE: 00000005692121</t>
  </si>
  <si>
    <t>EM NEGOCIACAO</t>
  </si>
  <si>
    <t>CLIENTE NÃO QUIS RENOVAR O CONTRATO</t>
  </si>
  <si>
    <t>Suspensão realizada pelo faturamento, após pesquisa cliente não quis renovar.</t>
  </si>
  <si>
    <t>30004447-5</t>
  </si>
  <si>
    <t>IVAN ALVES SILVA</t>
  </si>
  <si>
    <t>Em processo de cancelamento - Cliente não pagou a multa</t>
  </si>
  <si>
    <t>churn - Inadimplente desde 12/2025 - solicitação de cancelamento 06/2026</t>
  </si>
  <si>
    <t>30007041-5</t>
  </si>
  <si>
    <t>MARCO ANTONIO GIACON</t>
  </si>
  <si>
    <t>Em processo de cancelamento.</t>
  </si>
  <si>
    <t>Acompanhar acordo de pagamento - Inadimplente desde 02/2026 - solicitação de cancelamento 06/2026-solicitou o cancelamento após cobrança</t>
  </si>
  <si>
    <t>30002284-5</t>
  </si>
  <si>
    <t>JOSE DIAS DE MELO NETO - IE 11.377.955-0</t>
  </si>
  <si>
    <t>Processo de Distrato</t>
  </si>
  <si>
    <t>30005913-5</t>
  </si>
  <si>
    <t>BEATRIZ COSTA FRANCO</t>
  </si>
  <si>
    <t>Churn, o valor foi negociado em 2x de R$ 1000 e foi repassado a cobrança para o time de contas a receber</t>
  </si>
  <si>
    <t>30006190-5</t>
  </si>
  <si>
    <t>JOAO MIGUEL GIONGO FREITAS</t>
  </si>
  <si>
    <t>churn - Inadimplente desde 01/2026 - solicitação de cancelamento 07/2026</t>
  </si>
  <si>
    <t>30005162-5</t>
  </si>
  <si>
    <t>VINICIUS DA SILVA SOARES</t>
  </si>
  <si>
    <t>Ação Vertical</t>
  </si>
  <si>
    <t>30005923-5</t>
  </si>
  <si>
    <t>COOPERATIVA AGROPECUARIA PRIMAVERA COAP</t>
  </si>
  <si>
    <t>Negociação / Retenção</t>
  </si>
  <si>
    <t>NEGOCIAÇÃO COMERCIAL_x000D_ CONTRATO SUSPENSO POR NEGOCIACAO COMERCIAL, TRATADO NO E-MAI: RENOVAÇÃO ANUAIS MYFARM 08/2026 COM A RAMONA</t>
  </si>
  <si>
    <t>Negociação e prazo de retomada</t>
  </si>
  <si>
    <t>30005114-5</t>
  </si>
  <si>
    <t>LISEU JOSE SCHERER - IE.13.260.772-7</t>
  </si>
  <si>
    <t>30007333-5</t>
  </si>
  <si>
    <t>KNAP SOLUCOES CONTABEIS LTDA</t>
  </si>
  <si>
    <t>NEGOCIAÇÃO DOCUMENTAL - CONTRATOS_x000D_ Esse contrato está sendo analisado pelo Jurídico, juntamente com o Angelo e o Julio. Trata-se do contrato utilizado pelo Jader (BPO) para atendimento de terceiros</t>
  </si>
  <si>
    <t>Respondido essa semana - Aguardando cliente pagar valores em aberto;</t>
  </si>
  <si>
    <t>30005113-5</t>
  </si>
  <si>
    <t>DIEGO MORA MACENA</t>
  </si>
  <si>
    <t>30005886-5</t>
  </si>
  <si>
    <t>WALDYRENE BARROS SILVA</t>
  </si>
  <si>
    <t>NEGOCIAÇÃO COMERCIAL
 Segue informação do Sucesso do Cliente:
 A cliente informa que não está conseguindo acompanhar a implantação no momento, mas não deseja efetuar o cancelamento.
 Entrará em um projeto pessoal e momentaneamente precisará parar a implantação do sistema._x</t>
  </si>
  <si>
    <t>Status correto - Suspenso - Pendencias de Projeto | Atualizar Status</t>
  </si>
  <si>
    <t>30002312-5</t>
  </si>
  <si>
    <t>ADRIANA CRISTINA GUIZELINI</t>
  </si>
  <si>
    <t>30003798-5</t>
  </si>
  <si>
    <t>JOSE WILIAN BAHDUR</t>
  </si>
  <si>
    <t>NEGOCIAÇÃO COMERCIAL
 Em troca de e-mails com o comercial myfarm, o cliente não está utilizando o sistema. irão entrar em contato para verificação juntamente ao cliente</t>
  </si>
  <si>
    <t>Suspensão realizada pelo faturamento, aguardando retorno da negociação comercial</t>
  </si>
  <si>
    <t>30005762-5</t>
  </si>
  <si>
    <t>WILLIAM CARDOSO DOS SANTOS</t>
  </si>
  <si>
    <t>CHURN - ASSINATURA DE DISTRATO_x000D_ Cliente solicitou o cancelamento do contrato, está sendo tratado no ticket: 724692 (Amanda Cristina)</t>
  </si>
  <si>
    <t>Aguardando Retorno do CS</t>
  </si>
  <si>
    <t>30004481-5</t>
  </si>
  <si>
    <t>AGROPECUARIA ALVORADA LTDA</t>
  </si>
  <si>
    <t>Em processo de cancelamento - Aguardando pagamento da entrada do acordo/distrato. Em 23/06/2025 solicitado de acordo da vertical para negativação.</t>
  </si>
  <si>
    <t>Migração AGM Myfarm | Aguardando pagamento da negociação referente ao distrato</t>
  </si>
  <si>
    <t>30007136-5</t>
  </si>
  <si>
    <t>FERNANDO VIEIRA PERES</t>
  </si>
  <si>
    <t>Acionar cobrança e definir reativar x churn - Inadimplente desde 05/2026 - solicitação de cancelamento 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</si>
</sst>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 &quot;#,##0"/>
    <numFmt numFmtId="165" formatCode="0.0%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b/>
      <sz val="9"/>
      <color rgb="FF2E7D6F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theme="9" tint="0.79998168889431442"/>
        <bgColor rgb="FF40404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6" fontId="7" fillId="0" borderId="2" xfId="0" applyNumberFormat="1" applyFont="1" applyBorder="1" applyAlignment="1">
      <alignment vertic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6" fontId="7" fillId="0" borderId="0" xfId="0" applyNumberFormat="1" applyFont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4" fontId="9" fillId="0" borderId="1" xfId="0" applyNumberFormat="1" applyFont="1" applyBorder="1"/>
    <xf numFmtId="165" fontId="9" fillId="0" borderId="1" xfId="1" applyNumberFormat="1" applyFont="1" applyBorder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5" fontId="7" fillId="0" borderId="0" xfId="1" applyNumberFormat="1" applyFont="1"/>
    <xf numFmtId="165" fontId="7" fillId="0" borderId="2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6" fontId="7" fillId="2" borderId="2" xfId="0" applyNumberFormat="1" applyFont="1" applyFill="1" applyBorder="1" applyAlignment="1">
      <alignment vertical="center"/>
    </xf>
    <xf numFmtId="165" fontId="7" fillId="2" borderId="2" xfId="1" applyNumberFormat="1" applyFont="1" applyFill="1" applyBorder="1" applyAlignment="1">
      <alignment vertical="center"/>
    </xf>
    <xf numFmtId="0" fontId="0" fillId="3" borderId="0" xfId="0" applyFill="1"/>
    <xf numFmtId="0" fontId="6" fillId="3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6" fillId="3" borderId="3" xfId="0" applyFont="1" applyFill="1" applyBorder="1" applyAlignment="1">
      <alignment wrapText="1"/>
    </xf>
    <xf numFmtId="0" fontId="0" fillId="3" borderId="3" xfId="0" applyFill="1" applyBorder="1"/>
    <xf numFmtId="0" fontId="7" fillId="0" borderId="3" xfId="0" applyFont="1" applyBorder="1"/>
    <xf numFmtId="0" fontId="0" fillId="0" borderId="3" xfId="0" applyBorder="1"/>
    <xf numFmtId="3" fontId="9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4" fontId="0" fillId="0" borderId="0" xfId="2" applyFont="1" applyAlignment="1">
      <alignment horizontal="center"/>
    </xf>
    <xf numFmtId="0" fontId="10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4" fontId="2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0" fontId="1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wrapText="1"/>
    </xf>
    <xf numFmtId="44" fontId="5" fillId="0" borderId="5" xfId="2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3" fontId="2" fillId="0" borderId="0" xfId="0" applyNumberFormat="1" applyFont="1"/>
    <xf numFmtId="0" fontId="16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/>
    </xf>
    <xf numFmtId="3" fontId="0" fillId="0" borderId="0" xfId="0" applyNumberFormat="1"/>
    <xf numFmtId="0" fontId="0" fillId="0" borderId="5" xfId="0" applyBorder="1"/>
    <xf numFmtId="3" fontId="0" fillId="0" borderId="5" xfId="0" applyNumberFormat="1" applyBorder="1"/>
    <xf numFmtId="0" fontId="2" fillId="0" borderId="5" xfId="0" applyFont="1" applyBorder="1"/>
    <xf numFmtId="3" fontId="2" fillId="0" borderId="5" xfId="0" applyNumberFormat="1" applyFont="1" applyBorder="1"/>
    <xf numFmtId="0" fontId="2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right"/>
    </xf>
    <xf numFmtId="0" fontId="0" fillId="0" borderId="8" xfId="0" applyBorder="1"/>
    <xf numFmtId="165" fontId="5" fillId="0" borderId="8" xfId="1" applyNumberFormat="1" applyFont="1" applyBorder="1"/>
    <xf numFmtId="0" fontId="0" fillId="0" borderId="7" xfId="0" applyBorder="1"/>
    <xf numFmtId="14" fontId="10" fillId="0" borderId="0" xfId="0" applyNumberFormat="1" applyFont="1"/>
    <xf numFmtId="14" fontId="0" fillId="0" borderId="0" xfId="0" applyNumberFormat="1"/>
    <xf numFmtId="0" fontId="3" fillId="0" borderId="5" xfId="0" applyFont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wrapText="1"/>
    </xf>
    <xf numFmtId="44" fontId="5" fillId="6" borderId="5" xfId="2" applyFont="1" applyFill="1" applyBorder="1" applyAlignment="1">
      <alignment horizontal="center"/>
    </xf>
    <xf numFmtId="14" fontId="5" fillId="6" borderId="5" xfId="0" applyNumberFormat="1" applyFont="1" applyFill="1" applyBorder="1" applyAlignment="1">
      <alignment horizontal="center"/>
    </xf>
    <xf numFmtId="0" fontId="0" fillId="6" borderId="0" xfId="0" applyFill="1"/>
    <xf numFmtId="0" fontId="10" fillId="0" borderId="0" xfId="0" applyFont="1" applyAlignment="1">
      <alignment horizontal="center" wrapText="1"/>
    </xf>
    <xf numFmtId="0" fontId="12" fillId="0" borderId="5" xfId="0" applyFont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left" vertical="center"/>
    </xf>
    <xf numFmtId="0" fontId="17" fillId="7" borderId="5" xfId="0" applyFont="1" applyFill="1" applyBorder="1" applyAlignment="1">
      <alignment horizontal="center" vertical="center" wrapText="1"/>
    </xf>
    <xf numFmtId="164" fontId="17" fillId="7" borderId="5" xfId="0" applyNumberFormat="1" applyFont="1" applyFill="1" applyBorder="1" applyAlignment="1">
      <alignment horizontal="right" vertical="center"/>
    </xf>
    <xf numFmtId="0" fontId="17" fillId="7" borderId="5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center"/>
    </xf>
    <xf numFmtId="0" fontId="18" fillId="7" borderId="5" xfId="0" applyFont="1" applyFill="1" applyBorder="1" applyAlignment="1">
      <alignment vertical="center" wrapText="1"/>
    </xf>
    <xf numFmtId="0" fontId="18" fillId="7" borderId="5" xfId="0" applyFont="1" applyFill="1" applyBorder="1" applyAlignment="1">
      <alignment wrapText="1"/>
    </xf>
    <xf numFmtId="44" fontId="18" fillId="7" borderId="5" xfId="2" applyFont="1" applyFill="1" applyBorder="1" applyAlignment="1">
      <alignment horizontal="center"/>
    </xf>
    <xf numFmtId="14" fontId="18" fillId="7" borderId="5" xfId="0" applyNumberFormat="1" applyFont="1" applyFill="1" applyBorder="1" applyAlignment="1">
      <alignment horizontal="center"/>
    </xf>
    <xf numFmtId="0" fontId="19" fillId="7" borderId="0" xfId="0" applyFont="1" applyFill="1"/>
    <xf numFmtId="0" fontId="20" fillId="7" borderId="5" xfId="0" applyFont="1" applyFill="1" applyBorder="1" applyAlignment="1">
      <alignment wrapText="1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right" vertical="center"/>
    </xf>
    <xf numFmtId="0" fontId="17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vertical="center" wrapText="1"/>
    </xf>
    <xf numFmtId="0" fontId="18" fillId="0" borderId="5" xfId="0" applyFont="1" applyBorder="1" applyAlignment="1">
      <alignment wrapText="1"/>
    </xf>
    <xf numFmtId="44" fontId="18" fillId="0" borderId="5" xfId="2" applyFont="1" applyBorder="1" applyAlignment="1">
      <alignment horizontal="center"/>
    </xf>
    <xf numFmtId="14" fontId="18" fillId="0" borderId="5" xfId="0" applyNumberFormat="1" applyFont="1" applyBorder="1" applyAlignment="1">
      <alignment horizontal="center"/>
    </xf>
    <xf numFmtId="0" fontId="19" fillId="0" borderId="0" xfId="0" applyFont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20</xdr:row>
      <xdr:rowOff>93345</xdr:rowOff>
    </xdr:from>
    <xdr:to>
      <xdr:col>1</xdr:col>
      <xdr:colOff>426720</xdr:colOff>
      <xdr:row>21</xdr:row>
      <xdr:rowOff>154305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EBE9D0D3-3120-85BC-4481-B3AD3CECF544}"/>
            </a:ext>
          </a:extLst>
        </xdr:cNvPr>
        <xdr:cNvCxnSpPr/>
      </xdr:nvCxnSpPr>
      <xdr:spPr>
        <a:xfrm>
          <a:off x="1036320" y="4160520"/>
          <a:ext cx="0" cy="2419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655320</xdr:colOff>
      <xdr:row>12</xdr:row>
      <xdr:rowOff>112395</xdr:rowOff>
    </xdr:from>
    <xdr:to>
      <xdr:col>6</xdr:col>
      <xdr:colOff>655320</xdr:colOff>
      <xdr:row>14</xdr:row>
      <xdr:rowOff>133350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4C0E2810-9B14-2373-0D8D-86D31BF50EEC}"/>
            </a:ext>
          </a:extLst>
        </xdr:cNvPr>
        <xdr:cNvCxnSpPr/>
      </xdr:nvCxnSpPr>
      <xdr:spPr>
        <a:xfrm flipH="1">
          <a:off x="6903720" y="2579370"/>
          <a:ext cx="0" cy="4210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6D04-78FA-4C10-B545-52B54BD6FE8B}">
  <dimension ref="B1:J33"/>
  <sheetViews>
    <sheetView showGridLines="0" workbookViewId="0">
      <selection activeCell="B3" sqref="B3"/>
    </sheetView>
  </sheetViews>
  <sheetFormatPr defaultRowHeight="14.45"/>
  <cols>
    <col min="2" max="2" width="53" customWidth="1"/>
    <col min="3" max="3" width="6.7109375" customWidth="1"/>
    <col min="4" max="4" width="13.28515625" customWidth="1"/>
    <col min="5" max="5" width="12.28515625" customWidth="1"/>
    <col min="6" max="6" width="2.7109375" customWidth="1"/>
    <col min="7" max="7" width="19.28515625" customWidth="1"/>
    <col min="8" max="8" width="13.28515625" customWidth="1"/>
    <col min="9" max="9" width="9.85546875" bestFit="1" customWidth="1"/>
    <col min="10" max="10" width="10.140625" bestFit="1" customWidth="1"/>
  </cols>
  <sheetData>
    <row r="1" spans="2:10" ht="18">
      <c r="B1" s="6"/>
    </row>
    <row r="2" spans="2:10" ht="18">
      <c r="B2" s="6" t="s">
        <v>0</v>
      </c>
    </row>
    <row r="3" spans="2:10" ht="15.6">
      <c r="B3" s="32" t="s">
        <v>1</v>
      </c>
      <c r="C3" s="33"/>
      <c r="D3" s="33"/>
    </row>
    <row r="4" spans="2:10" ht="15.6">
      <c r="B4" s="30" t="s">
        <v>2</v>
      </c>
      <c r="C4" s="29"/>
      <c r="D4" s="29"/>
    </row>
    <row r="5" spans="2:10" ht="15.6">
      <c r="B5" s="31" t="s">
        <v>3</v>
      </c>
    </row>
    <row r="6" spans="2:10" ht="15.6">
      <c r="B6" s="31" t="s">
        <v>4</v>
      </c>
    </row>
    <row r="7" spans="2:10" ht="15.6">
      <c r="B7" s="31"/>
    </row>
    <row r="8" spans="2:10" ht="18">
      <c r="B8" s="34" t="s">
        <v>5</v>
      </c>
      <c r="C8" s="35"/>
      <c r="D8" s="35"/>
      <c r="E8" s="35"/>
      <c r="F8" s="35"/>
      <c r="G8" s="35"/>
      <c r="H8" s="35"/>
      <c r="I8" s="35"/>
      <c r="J8" s="35"/>
    </row>
    <row r="10" spans="2:10" ht="15.6">
      <c r="B10" s="14" t="s">
        <v>6</v>
      </c>
      <c r="C10" s="14" t="s">
        <v>7</v>
      </c>
      <c r="D10" s="14" t="s">
        <v>8</v>
      </c>
      <c r="G10" s="14" t="s">
        <v>9</v>
      </c>
      <c r="H10" s="14" t="s">
        <v>7</v>
      </c>
      <c r="I10" s="14" t="s">
        <v>8</v>
      </c>
      <c r="J10" s="14" t="s">
        <v>10</v>
      </c>
    </row>
    <row r="11" spans="2:10" ht="15.6">
      <c r="B11" s="15" t="str" cm="1">
        <f t="array" ref="B11:B12">_xlfn._xlws.SORT(_xlfn.UNIQUE(Inadimplencia!J4:J27),,1)</f>
        <v>Carteira Cobrança</v>
      </c>
      <c r="C11" s="16">
        <f>COUNTIF(Inadimplencia!$J$4:$J$27,B11)</f>
        <v>20</v>
      </c>
      <c r="D11" s="36">
        <f>SUMIF(Inadimplencia!J:J,Resumo!B11,Inadimplencia!H:H)</f>
        <v>53527.170000000006</v>
      </c>
      <c r="G11" s="15" t="str" cm="1">
        <f t="array" ref="G11:G12">_xlfn.UNIQUE(Inadimplencia!N4:N27)</f>
        <v>AGRIMANAGER ERP</v>
      </c>
      <c r="H11" s="14">
        <f>COUNTIF(Inadimplencia!$N$4:$N$27,G11)</f>
        <v>10</v>
      </c>
      <c r="I11" s="18">
        <f>SUMIF(Inadimplencia!$N$4:$N$27,G11,Inadimplencia!$H$4:$H$27)</f>
        <v>35235.630000000005</v>
      </c>
      <c r="J11" s="19">
        <f>I11/$I$13</f>
        <v>0.62788765689560144</v>
      </c>
    </row>
    <row r="12" spans="2:10" ht="15.6">
      <c r="B12" s="15" t="str">
        <v>Escritório AVERBACH</v>
      </c>
      <c r="C12" s="16">
        <f>COUNTIF(Inadimplencia!$J$4:$J$27,B12)</f>
        <v>4</v>
      </c>
      <c r="D12" s="36">
        <f>SUMIF(Inadimplencia!J:J,Resumo!B12,Inadimplencia!H:H)</f>
        <v>2590.56</v>
      </c>
      <c r="G12" s="15" t="str">
        <v>MY FARM ERP</v>
      </c>
      <c r="H12" s="14">
        <f>COUNTIF(Inadimplencia!$N$4:$N$27,G12)</f>
        <v>14</v>
      </c>
      <c r="I12" s="18">
        <f>SUMIF(Inadimplencia!$N$4:$N$27,G12,Inadimplencia!$H$4:$H$27)</f>
        <v>20882.099999999999</v>
      </c>
      <c r="J12" s="19">
        <f>I12/$I$13</f>
        <v>0.3721123431043985</v>
      </c>
    </row>
    <row r="13" spans="2:10" ht="15.6">
      <c r="B13" s="15"/>
      <c r="C13" s="16">
        <f>COUNTIF(Inadimplencia!$J$4:$J$27,B13)</f>
        <v>0</v>
      </c>
      <c r="D13" s="36">
        <f>SUMIF(Inadimplencia!J:J,Resumo!B13,Inadimplencia!H:H)</f>
        <v>0</v>
      </c>
      <c r="G13" s="17"/>
      <c r="H13" s="20">
        <f>SUM(H11:H12)</f>
        <v>24</v>
      </c>
      <c r="I13" s="21">
        <f>SUM(I11:I12)</f>
        <v>56117.73</v>
      </c>
      <c r="J13" s="17"/>
    </row>
    <row r="14" spans="2:10" ht="15.6">
      <c r="B14" s="15"/>
      <c r="C14" s="16">
        <f>COUNTIF(Inadimplencia!$J$4:$J$27,B14)</f>
        <v>0</v>
      </c>
      <c r="D14" s="36">
        <f>SUMIF(Inadimplencia!J:J,Resumo!B14,Inadimplencia!H:H)</f>
        <v>0</v>
      </c>
    </row>
    <row r="15" spans="2:10" ht="15.6">
      <c r="B15" s="15"/>
      <c r="C15" s="16">
        <f>COUNTIF(Inadimplencia!$J$4:$J$27,B15)</f>
        <v>0</v>
      </c>
      <c r="D15" s="36">
        <f>SUMIF(Inadimplencia!J:J,Resumo!B15,Inadimplencia!H:H)</f>
        <v>0</v>
      </c>
    </row>
    <row r="16" spans="2:10" ht="15.6">
      <c r="B16" s="15"/>
      <c r="C16" s="16">
        <f>COUNTIF(Inadimplencia!$J$4:$J$27,B16)</f>
        <v>0</v>
      </c>
      <c r="D16" s="36">
        <f>SUMIF(Inadimplencia!J:J,Resumo!B16,Inadimplencia!H:H)</f>
        <v>0</v>
      </c>
    </row>
    <row r="17" spans="2:8">
      <c r="C17" s="3">
        <f>SUM(C11:C16)</f>
        <v>24</v>
      </c>
      <c r="D17" s="37">
        <f>SUM(D11:D16)</f>
        <v>56117.73</v>
      </c>
    </row>
    <row r="23" spans="2:8" ht="18">
      <c r="B23" s="6" t="s">
        <v>11</v>
      </c>
      <c r="C23" s="7" t="s">
        <v>7</v>
      </c>
      <c r="D23" s="6" t="s">
        <v>12</v>
      </c>
      <c r="E23" s="7" t="s">
        <v>10</v>
      </c>
      <c r="G23" s="4" t="s">
        <v>13</v>
      </c>
      <c r="H23" s="4" t="s">
        <v>14</v>
      </c>
    </row>
    <row r="24" spans="2:8" ht="18">
      <c r="B24" s="8" t="s">
        <v>15</v>
      </c>
      <c r="C24" s="9">
        <v>3</v>
      </c>
      <c r="D24" s="10">
        <v>16343</v>
      </c>
      <c r="E24" s="23">
        <f t="shared" ref="E24:E29" si="0">D24/$D$30</f>
        <v>0.22995107471841089</v>
      </c>
      <c r="F24" s="3" t="s">
        <v>16</v>
      </c>
      <c r="G24" s="2">
        <v>16343</v>
      </c>
      <c r="H24" s="2">
        <v>0</v>
      </c>
    </row>
    <row r="25" spans="2:8" ht="18">
      <c r="B25" s="8" t="s">
        <v>17</v>
      </c>
      <c r="C25" s="9">
        <v>1</v>
      </c>
      <c r="D25" s="10">
        <v>1859.64</v>
      </c>
      <c r="E25" s="23">
        <f t="shared" si="0"/>
        <v>2.6165711105020233E-2</v>
      </c>
      <c r="F25" s="3" t="s">
        <v>16</v>
      </c>
      <c r="G25" s="2">
        <v>1859.64</v>
      </c>
      <c r="H25" s="2">
        <v>0</v>
      </c>
    </row>
    <row r="26" spans="2:8" ht="18">
      <c r="B26" s="8" t="s">
        <v>18</v>
      </c>
      <c r="C26" s="9">
        <v>7</v>
      </c>
      <c r="D26" s="10">
        <v>7133</v>
      </c>
      <c r="E26" s="23">
        <f t="shared" si="0"/>
        <v>0.10036352052661231</v>
      </c>
      <c r="F26" s="3" t="s">
        <v>16</v>
      </c>
      <c r="G26" s="2">
        <v>1597</v>
      </c>
      <c r="H26" s="2">
        <v>5536</v>
      </c>
    </row>
    <row r="27" spans="2:8" ht="18">
      <c r="B27" s="8" t="s">
        <v>19</v>
      </c>
      <c r="C27" s="9">
        <v>2</v>
      </c>
      <c r="D27" s="10">
        <v>9344</v>
      </c>
      <c r="E27" s="23">
        <f t="shared" si="0"/>
        <v>0.13147297571858479</v>
      </c>
      <c r="F27" s="3" t="s">
        <v>16</v>
      </c>
      <c r="G27" s="2">
        <v>9344</v>
      </c>
      <c r="H27" s="2">
        <v>0</v>
      </c>
    </row>
    <row r="28" spans="2:8" ht="18">
      <c r="B28" s="8" t="s">
        <v>20</v>
      </c>
      <c r="C28" s="9">
        <v>2</v>
      </c>
      <c r="D28" s="10">
        <v>2884</v>
      </c>
      <c r="E28" s="23">
        <f t="shared" si="0"/>
        <v>4.0578773755607721E-2</v>
      </c>
      <c r="F28" s="3" t="s">
        <v>16</v>
      </c>
      <c r="G28" s="2">
        <v>1199.8900000000001</v>
      </c>
      <c r="H28" s="2">
        <v>1684.11</v>
      </c>
    </row>
    <row r="29" spans="2:8" ht="18">
      <c r="B29" s="25" t="s">
        <v>21</v>
      </c>
      <c r="C29" s="26">
        <v>21</v>
      </c>
      <c r="D29" s="27">
        <v>33508</v>
      </c>
      <c r="E29" s="28">
        <f t="shared" si="0"/>
        <v>0.47146794417576404</v>
      </c>
      <c r="F29" s="3" t="s">
        <v>16</v>
      </c>
      <c r="G29" s="2">
        <v>11779</v>
      </c>
      <c r="H29" s="2">
        <v>21729</v>
      </c>
    </row>
    <row r="30" spans="2:8" ht="18">
      <c r="B30" s="11"/>
      <c r="C30" s="12">
        <f>SUM(C24:C29)</f>
        <v>36</v>
      </c>
      <c r="D30" s="13">
        <f>SUM(D24:D29)</f>
        <v>71071.64</v>
      </c>
      <c r="E30" s="22">
        <f>SUM(E24:E29)</f>
        <v>1</v>
      </c>
      <c r="G30" s="5">
        <f>SUM(G24:G29)</f>
        <v>42122.53</v>
      </c>
      <c r="H30" s="5">
        <f>SUM(H24:H29)</f>
        <v>28949.11</v>
      </c>
    </row>
    <row r="31" spans="2:8" ht="15.6">
      <c r="C31" s="17"/>
      <c r="D31" s="17"/>
    </row>
    <row r="32" spans="2:8" ht="15.6">
      <c r="B32" s="17"/>
      <c r="C32" s="17"/>
      <c r="D32" s="17"/>
    </row>
    <row r="33" spans="2:2">
      <c r="B33" s="2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CA53-A6AC-4190-B589-EC9D97580620}">
  <dimension ref="B2:N10"/>
  <sheetViews>
    <sheetView showGridLines="0" zoomScale="130" zoomScaleNormal="130" workbookViewId="0"/>
  </sheetViews>
  <sheetFormatPr defaultRowHeight="14.45"/>
  <cols>
    <col min="1" max="1" width="2.7109375" customWidth="1"/>
    <col min="2" max="2" width="21.7109375" customWidth="1"/>
    <col min="4" max="4" width="9.140625" bestFit="1" customWidth="1"/>
    <col min="5" max="5" width="2.28515625" customWidth="1"/>
    <col min="7" max="7" width="9.140625" bestFit="1" customWidth="1"/>
    <col min="8" max="8" width="2.28515625" customWidth="1"/>
    <col min="10" max="10" width="9.140625" bestFit="1" customWidth="1"/>
    <col min="11" max="11" width="2.28515625" customWidth="1"/>
    <col min="12" max="12" width="11.7109375" customWidth="1"/>
  </cols>
  <sheetData>
    <row r="2" spans="2:14">
      <c r="L2" s="86"/>
    </row>
    <row r="3" spans="2:14">
      <c r="C3" s="129" t="s">
        <v>22</v>
      </c>
      <c r="D3" s="129"/>
      <c r="F3" s="129" t="s">
        <v>18</v>
      </c>
      <c r="G3" s="129"/>
      <c r="I3" s="129" t="s">
        <v>23</v>
      </c>
      <c r="J3" s="129"/>
      <c r="L3" s="130" t="s">
        <v>24</v>
      </c>
      <c r="M3" s="130"/>
    </row>
    <row r="4" spans="2:14">
      <c r="B4" s="74" t="s">
        <v>9</v>
      </c>
      <c r="C4" s="74" t="s">
        <v>7</v>
      </c>
      <c r="D4" s="74" t="s">
        <v>25</v>
      </c>
      <c r="F4" s="74" t="s">
        <v>7</v>
      </c>
      <c r="G4" s="74" t="s">
        <v>25</v>
      </c>
      <c r="I4" s="74" t="s">
        <v>7</v>
      </c>
      <c r="J4" s="74" t="s">
        <v>25</v>
      </c>
      <c r="L4" s="74" t="s">
        <v>7</v>
      </c>
      <c r="M4" s="74" t="s">
        <v>25</v>
      </c>
    </row>
    <row r="5" spans="2:14">
      <c r="B5" s="76" t="s">
        <v>13</v>
      </c>
      <c r="C5" s="81">
        <f>COUNTIF(Inadimplencia!D:D,Geral!$B5)</f>
        <v>10</v>
      </c>
      <c r="D5" s="77">
        <f>SUMIF(Inadimplencia!D:D,Geral!$B5,Inadimplencia!H:H)</f>
        <v>35235.630000000005</v>
      </c>
      <c r="F5" s="81">
        <f>COUNTIF(Churn!F:F,Geral!$B5)</f>
        <v>8</v>
      </c>
      <c r="G5" s="77">
        <f>SUMIF(Churn!F:F,Geral!$B5,Churn!I:I)</f>
        <v>22639.33</v>
      </c>
      <c r="I5" s="81">
        <f>COUNTIF(Em_Negociacao!E:E,Geral!$B5)</f>
        <v>1</v>
      </c>
      <c r="J5" s="77">
        <f>SUMIF(Em_Negociacao!E:E,Geral!$B5,Em_Negociacao!H:H)</f>
        <v>1859.64</v>
      </c>
      <c r="L5" s="82">
        <f>C5+F5+I5</f>
        <v>19</v>
      </c>
      <c r="M5" s="79">
        <f>D5+G5+J5</f>
        <v>59734.600000000006</v>
      </c>
    </row>
    <row r="6" spans="2:14">
      <c r="B6" s="76" t="s">
        <v>14</v>
      </c>
      <c r="C6" s="81">
        <f>COUNTIF(Inadimplencia!D:D,Geral!$B6)</f>
        <v>17</v>
      </c>
      <c r="D6" s="77">
        <f>SUMIF(Inadimplencia!D:D,Geral!$B6,Inadimplencia!H:H)</f>
        <v>23780.75</v>
      </c>
      <c r="F6" s="81">
        <f>COUNTIF(Churn!F:F,Geral!$B6)</f>
        <v>18</v>
      </c>
      <c r="G6" s="77">
        <f>SUMIF(Churn!F:F,Geral!$B6,Churn!I:I)</f>
        <v>18540.11</v>
      </c>
      <c r="I6" s="81">
        <f>COUNTIF(Em_Negociacao!E:E,Geral!$B6)</f>
        <v>9</v>
      </c>
      <c r="J6" s="77">
        <f>SUMIF(Em_Negociacao!E:E,Geral!$B6,Em_Negociacao!H:H)</f>
        <v>11393.09</v>
      </c>
      <c r="L6" s="82">
        <f t="shared" ref="L6:L7" si="0">C6+F6+I6</f>
        <v>44</v>
      </c>
      <c r="M6" s="79">
        <f t="shared" ref="M6:M7" si="1">D6+G6+J6</f>
        <v>53713.95</v>
      </c>
    </row>
    <row r="7" spans="2:14">
      <c r="B7" s="76" t="s">
        <v>26</v>
      </c>
      <c r="C7" s="81">
        <f>COUNTIF(Inadimplencia!D:D,Geral!$B7)</f>
        <v>0</v>
      </c>
      <c r="D7" s="77">
        <f>SUMIF(Inadimplencia!D:D,Geral!$B7,Inadimplencia!H:H)</f>
        <v>0</v>
      </c>
      <c r="F7" s="81">
        <f>COUNTIF(Churn!F:F,Geral!$B7)</f>
        <v>2</v>
      </c>
      <c r="G7" s="77">
        <f>SUMIF(Churn!F:F,Geral!$B7,Churn!I:I)</f>
        <v>2849.12</v>
      </c>
      <c r="I7" s="81">
        <f>COUNTIF(Em_Negociacao!E:E,Geral!$B7)</f>
        <v>0</v>
      </c>
      <c r="J7" s="77">
        <f>SUMIF(Em_Negociacao!E:E,Geral!$B7,Em_Negociacao!H:H)</f>
        <v>0</v>
      </c>
      <c r="L7" s="82">
        <f t="shared" si="0"/>
        <v>2</v>
      </c>
      <c r="M7" s="79">
        <f t="shared" si="1"/>
        <v>2849.12</v>
      </c>
    </row>
    <row r="8" spans="2:14">
      <c r="B8" s="78" t="s">
        <v>27</v>
      </c>
      <c r="C8" s="82">
        <f>SUM(C5:C7)</f>
        <v>27</v>
      </c>
      <c r="D8" s="79">
        <f>SUM(D5:D7)</f>
        <v>59016.380000000005</v>
      </c>
      <c r="F8" s="82">
        <f>SUM(F5:F7)</f>
        <v>28</v>
      </c>
      <c r="G8" s="83">
        <f>SUM(G5:G7)</f>
        <v>44028.560000000005</v>
      </c>
      <c r="I8" s="82">
        <f>SUM(I5:I6)</f>
        <v>10</v>
      </c>
      <c r="J8" s="83">
        <f>SUM(J5:J6)</f>
        <v>13252.73</v>
      </c>
      <c r="L8" s="82">
        <f>SUM(L5:L7)</f>
        <v>65</v>
      </c>
      <c r="M8" s="83">
        <f>SUM(M5:M7)</f>
        <v>116297.67</v>
      </c>
    </row>
    <row r="9" spans="2:14">
      <c r="B9" s="80" t="s">
        <v>10</v>
      </c>
      <c r="C9" s="84"/>
      <c r="D9" s="85">
        <f>D8/$M$8</f>
        <v>0.50745969373247124</v>
      </c>
      <c r="F9" s="84"/>
      <c r="G9" s="85">
        <f>G8/$M$8</f>
        <v>0.37858505677714788</v>
      </c>
      <c r="I9" s="84"/>
      <c r="J9" s="85">
        <f>J8/$M$8</f>
        <v>0.11395524949038102</v>
      </c>
      <c r="L9" s="84"/>
      <c r="M9" s="85">
        <f>D9+G9+J9</f>
        <v>1.0000000000000002</v>
      </c>
    </row>
    <row r="10" spans="2:14">
      <c r="M10" s="75"/>
      <c r="N10" s="57"/>
    </row>
  </sheetData>
  <mergeCells count="4">
    <mergeCell ref="C3:D3"/>
    <mergeCell ref="F3:G3"/>
    <mergeCell ref="I3:J3"/>
    <mergeCell ref="L3:M3"/>
  </mergeCells>
  <pageMargins left="0.511811024" right="0.511811024" top="0.78740157499999996" bottom="0.78740157499999996" header="0.31496062000000002" footer="0.31496062000000002"/>
  <ignoredErrors>
    <ignoredError sqref="M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4C26-F349-4396-901C-96C127185AB4}">
  <dimension ref="B2:Y1048573"/>
  <sheetViews>
    <sheetView showGridLines="0" tabSelected="1" zoomScaleNormal="100" workbookViewId="0">
      <pane xSplit="3" ySplit="3" topLeftCell="D10" activePane="bottomRight" state="frozen"/>
      <selection pane="bottomRight" activeCell="E17" sqref="E17"/>
      <selection pane="bottomLeft" activeCell="A4" sqref="A4"/>
      <selection pane="topRight" activeCell="G1" sqref="G1"/>
    </sheetView>
  </sheetViews>
  <sheetFormatPr defaultRowHeight="15" customHeight="1"/>
  <cols>
    <col min="1" max="1" width="3.140625" customWidth="1"/>
    <col min="2" max="2" width="11" bestFit="1" customWidth="1"/>
    <col min="3" max="3" width="51.28515625" style="39" customWidth="1"/>
    <col min="4" max="4" width="17.140625" style="55" bestFit="1" customWidth="1"/>
    <col min="5" max="5" width="20.28515625" style="102" customWidth="1"/>
    <col min="6" max="6" width="17.140625" customWidth="1"/>
    <col min="7" max="7" width="20.140625" style="39" customWidth="1"/>
    <col min="8" max="8" width="16.28515625" customWidth="1"/>
    <col min="9" max="9" width="74.5703125" customWidth="1"/>
    <col min="10" max="10" width="18.7109375" style="3" hidden="1" customWidth="1"/>
    <col min="11" max="11" width="25.5703125" style="3" hidden="1" customWidth="1"/>
    <col min="12" max="12" width="53.85546875" hidden="1" customWidth="1"/>
    <col min="13" max="13" width="68.42578125" bestFit="1" customWidth="1"/>
    <col min="14" max="14" width="17.28515625" style="3" bestFit="1" customWidth="1"/>
    <col min="15" max="15" width="47.5703125" bestFit="1" customWidth="1"/>
    <col min="16" max="16" width="91.28515625" style="53" customWidth="1"/>
    <col min="17" max="17" width="23" style="3" bestFit="1" customWidth="1"/>
    <col min="18" max="18" width="24.85546875" style="38" bestFit="1" customWidth="1"/>
    <col min="19" max="19" width="23.42578125" style="3" bestFit="1" customWidth="1"/>
    <col min="20" max="20" width="23.42578125" style="3" customWidth="1"/>
    <col min="21" max="21" width="24.140625" style="3" bestFit="1" customWidth="1"/>
    <col min="22" max="22" width="19.42578125" style="3" bestFit="1" customWidth="1"/>
    <col min="23" max="23" width="17.28515625" bestFit="1" customWidth="1"/>
    <col min="24" max="24" width="20.140625" customWidth="1"/>
    <col min="25" max="25" width="38.28515625" bestFit="1" customWidth="1"/>
  </cols>
  <sheetData>
    <row r="2" spans="2:25">
      <c r="B2" s="56">
        <f>COUNTA(C4:C29)</f>
        <v>26</v>
      </c>
      <c r="H2" s="58">
        <f>SUBTOTAL(9,H4:H1048576)</f>
        <v>59016.380000000005</v>
      </c>
      <c r="R2" s="54">
        <f>SUBTOTAL(9,R4:R1048576)</f>
        <v>105157.81000000001</v>
      </c>
      <c r="S2" s="54">
        <f>SUBTOTAL(9,S4:S1048576)</f>
        <v>223122.45000000004</v>
      </c>
      <c r="T2" s="54">
        <f>SUBTOTAL(9,T4:T1048576)</f>
        <v>328280.26</v>
      </c>
    </row>
    <row r="3" spans="2:25" s="53" customFormat="1" ht="18" customHeight="1">
      <c r="B3" s="59" t="s">
        <v>28</v>
      </c>
      <c r="C3" s="59" t="s">
        <v>29</v>
      </c>
      <c r="D3" s="59" t="s">
        <v>9</v>
      </c>
      <c r="E3" s="59" t="s">
        <v>30</v>
      </c>
      <c r="F3" s="59" t="s">
        <v>31</v>
      </c>
      <c r="G3" s="59" t="s">
        <v>32</v>
      </c>
      <c r="H3" s="59" t="s">
        <v>33</v>
      </c>
      <c r="I3" s="59" t="s">
        <v>34</v>
      </c>
      <c r="J3" s="59" t="s">
        <v>35</v>
      </c>
      <c r="K3" s="59" t="s">
        <v>36</v>
      </c>
      <c r="L3" s="59" t="s">
        <v>37</v>
      </c>
      <c r="M3" s="59" t="s">
        <v>38</v>
      </c>
      <c r="N3" s="59" t="s">
        <v>9</v>
      </c>
      <c r="O3" s="59" t="s">
        <v>39</v>
      </c>
      <c r="P3" s="59" t="s">
        <v>40</v>
      </c>
      <c r="Q3" s="59" t="s">
        <v>41</v>
      </c>
      <c r="R3" s="59" t="s">
        <v>42</v>
      </c>
      <c r="S3" s="59" t="s">
        <v>43</v>
      </c>
      <c r="T3" s="72" t="s">
        <v>44</v>
      </c>
      <c r="U3" s="59" t="s">
        <v>45</v>
      </c>
      <c r="V3" s="59" t="s">
        <v>46</v>
      </c>
      <c r="W3" s="59" t="s">
        <v>47</v>
      </c>
      <c r="X3" s="59" t="s">
        <v>48</v>
      </c>
      <c r="Y3" s="59" t="s">
        <v>49</v>
      </c>
    </row>
    <row r="4" spans="2:25" ht="23.25">
      <c r="B4" s="60" t="s">
        <v>50</v>
      </c>
      <c r="C4" s="61" t="s">
        <v>51</v>
      </c>
      <c r="D4" s="62" t="s">
        <v>13</v>
      </c>
      <c r="E4" s="103" t="s">
        <v>52</v>
      </c>
      <c r="F4" s="60" t="s">
        <v>53</v>
      </c>
      <c r="G4" s="62" t="s">
        <v>54</v>
      </c>
      <c r="H4" s="63">
        <v>8758.44</v>
      </c>
      <c r="I4" s="64" t="s">
        <v>55</v>
      </c>
      <c r="J4" s="65" t="s">
        <v>56</v>
      </c>
      <c r="K4" s="66" t="s">
        <v>57</v>
      </c>
      <c r="L4" s="67" t="s">
        <v>58</v>
      </c>
      <c r="M4" s="68"/>
      <c r="N4" s="65" t="s">
        <v>13</v>
      </c>
      <c r="O4" s="67" t="s">
        <v>59</v>
      </c>
      <c r="P4" s="67" t="s">
        <v>60</v>
      </c>
      <c r="Q4" s="65">
        <v>219</v>
      </c>
      <c r="R4" s="69">
        <v>0</v>
      </c>
      <c r="S4" s="69">
        <v>43792.200000000004</v>
      </c>
      <c r="T4" s="69">
        <f t="shared" ref="T4:T29" si="0">R4+S4</f>
        <v>43792.200000000004</v>
      </c>
      <c r="U4" s="65">
        <v>5</v>
      </c>
      <c r="V4" s="70">
        <v>46111</v>
      </c>
      <c r="W4" s="60"/>
      <c r="X4" s="60"/>
      <c r="Y4" s="89" t="s">
        <v>61</v>
      </c>
    </row>
    <row r="5" spans="2:25" s="101" customFormat="1" ht="23.25">
      <c r="B5" s="90" t="s">
        <v>62</v>
      </c>
      <c r="C5" s="91" t="s">
        <v>63</v>
      </c>
      <c r="D5" s="92" t="s">
        <v>13</v>
      </c>
      <c r="E5" s="104" t="s">
        <v>64</v>
      </c>
      <c r="F5" s="90" t="s">
        <v>53</v>
      </c>
      <c r="G5" s="92" t="s">
        <v>54</v>
      </c>
      <c r="H5" s="93">
        <v>3380.27</v>
      </c>
      <c r="I5" s="94" t="s">
        <v>65</v>
      </c>
      <c r="J5" s="95" t="s">
        <v>56</v>
      </c>
      <c r="K5" s="96" t="s">
        <v>57</v>
      </c>
      <c r="L5" s="97" t="s">
        <v>66</v>
      </c>
      <c r="M5" s="98"/>
      <c r="N5" s="95" t="s">
        <v>13</v>
      </c>
      <c r="O5" s="97" t="s">
        <v>59</v>
      </c>
      <c r="P5" s="97" t="s">
        <v>67</v>
      </c>
      <c r="Q5" s="95">
        <v>96</v>
      </c>
      <c r="R5" s="99">
        <v>0</v>
      </c>
      <c r="S5" s="99">
        <v>13521.08</v>
      </c>
      <c r="T5" s="99">
        <f t="shared" si="0"/>
        <v>13521.08</v>
      </c>
      <c r="U5" s="95">
        <v>4</v>
      </c>
      <c r="V5" s="100">
        <v>46128</v>
      </c>
      <c r="W5" s="90"/>
      <c r="X5" s="90"/>
      <c r="Y5" s="105" t="s">
        <v>61</v>
      </c>
    </row>
    <row r="6" spans="2:25" ht="23.25">
      <c r="B6" s="60" t="s">
        <v>68</v>
      </c>
      <c r="C6" s="61" t="s">
        <v>69</v>
      </c>
      <c r="D6" s="62" t="s">
        <v>13</v>
      </c>
      <c r="E6" s="103"/>
      <c r="F6" s="60" t="s">
        <v>53</v>
      </c>
      <c r="G6" s="62" t="s">
        <v>54</v>
      </c>
      <c r="H6" s="63">
        <v>4204.55</v>
      </c>
      <c r="I6" s="64" t="s">
        <v>70</v>
      </c>
      <c r="J6" s="65" t="s">
        <v>56</v>
      </c>
      <c r="K6" s="66" t="s">
        <v>57</v>
      </c>
      <c r="L6" s="67" t="s">
        <v>71</v>
      </c>
      <c r="M6" s="68"/>
      <c r="N6" s="65" t="s">
        <v>13</v>
      </c>
      <c r="O6" s="67" t="s">
        <v>59</v>
      </c>
      <c r="P6" s="67" t="s">
        <v>72</v>
      </c>
      <c r="Q6" s="65">
        <v>160</v>
      </c>
      <c r="R6" s="69">
        <v>0</v>
      </c>
      <c r="S6" s="69">
        <v>10688.86</v>
      </c>
      <c r="T6" s="69">
        <f t="shared" si="0"/>
        <v>10688.86</v>
      </c>
      <c r="U6" s="65">
        <v>2</v>
      </c>
      <c r="V6" s="70">
        <v>46086</v>
      </c>
      <c r="W6" s="60"/>
      <c r="X6" s="60"/>
      <c r="Y6" s="89" t="s">
        <v>61</v>
      </c>
    </row>
    <row r="7" spans="2:25" s="101" customFormat="1" ht="55.5">
      <c r="B7" s="90" t="s">
        <v>73</v>
      </c>
      <c r="C7" s="91" t="s">
        <v>74</v>
      </c>
      <c r="D7" s="92" t="s">
        <v>13</v>
      </c>
      <c r="E7" s="104" t="s">
        <v>75</v>
      </c>
      <c r="F7" s="90" t="s">
        <v>53</v>
      </c>
      <c r="G7" s="92" t="s">
        <v>54</v>
      </c>
      <c r="H7" s="93">
        <v>4876.6000000000004</v>
      </c>
      <c r="I7" s="94" t="s">
        <v>76</v>
      </c>
      <c r="J7" s="95" t="s">
        <v>56</v>
      </c>
      <c r="K7" s="96" t="s">
        <v>77</v>
      </c>
      <c r="L7" s="97" t="s">
        <v>78</v>
      </c>
      <c r="M7" s="98" t="s">
        <v>79</v>
      </c>
      <c r="N7" s="95" t="s">
        <v>13</v>
      </c>
      <c r="O7" s="97" t="s">
        <v>80</v>
      </c>
      <c r="P7" s="97" t="s">
        <v>81</v>
      </c>
      <c r="Q7" s="95">
        <v>145</v>
      </c>
      <c r="R7" s="99">
        <v>0</v>
      </c>
      <c r="S7" s="99">
        <f>4876.6*2</f>
        <v>9753.2000000000007</v>
      </c>
      <c r="T7" s="99">
        <f t="shared" si="0"/>
        <v>9753.2000000000007</v>
      </c>
      <c r="U7" s="95">
        <v>2</v>
      </c>
      <c r="V7" s="100">
        <v>46034</v>
      </c>
      <c r="W7" s="90"/>
      <c r="X7" s="90"/>
      <c r="Y7" s="105" t="s">
        <v>61</v>
      </c>
    </row>
    <row r="8" spans="2:25" ht="33">
      <c r="B8" s="60" t="s">
        <v>82</v>
      </c>
      <c r="C8" s="61" t="s">
        <v>83</v>
      </c>
      <c r="D8" s="62" t="s">
        <v>13</v>
      </c>
      <c r="E8" s="103" t="s">
        <v>84</v>
      </c>
      <c r="F8" s="60" t="s">
        <v>53</v>
      </c>
      <c r="G8" s="62" t="s">
        <v>54</v>
      </c>
      <c r="H8" s="63">
        <v>4467.33</v>
      </c>
      <c r="I8" s="64" t="s">
        <v>85</v>
      </c>
      <c r="J8" s="65" t="s">
        <v>56</v>
      </c>
      <c r="K8" s="66" t="s">
        <v>86</v>
      </c>
      <c r="L8" s="67" t="s">
        <v>87</v>
      </c>
      <c r="M8" s="68" t="s">
        <v>88</v>
      </c>
      <c r="N8" s="65" t="s">
        <v>13</v>
      </c>
      <c r="O8" s="67" t="s">
        <v>89</v>
      </c>
      <c r="P8" s="67" t="s">
        <v>90</v>
      </c>
      <c r="Q8" s="65">
        <v>366</v>
      </c>
      <c r="R8" s="69">
        <v>0</v>
      </c>
      <c r="S8" s="69">
        <v>58075.29</v>
      </c>
      <c r="T8" s="69">
        <f t="shared" si="0"/>
        <v>58075.29</v>
      </c>
      <c r="U8" s="65">
        <v>13</v>
      </c>
      <c r="V8" s="70">
        <v>45901</v>
      </c>
      <c r="W8" s="60"/>
      <c r="X8" s="60"/>
      <c r="Y8" s="89" t="s">
        <v>61</v>
      </c>
    </row>
    <row r="9" spans="2:25" ht="154.5">
      <c r="B9" s="60" t="s">
        <v>91</v>
      </c>
      <c r="C9" s="61" t="s">
        <v>92</v>
      </c>
      <c r="D9" s="62" t="s">
        <v>13</v>
      </c>
      <c r="E9" s="103" t="s">
        <v>93</v>
      </c>
      <c r="F9" s="60" t="s">
        <v>53</v>
      </c>
      <c r="G9" s="62" t="s">
        <v>54</v>
      </c>
      <c r="H9" s="63">
        <v>3098.61</v>
      </c>
      <c r="I9" s="64" t="s">
        <v>94</v>
      </c>
      <c r="J9" s="65" t="s">
        <v>56</v>
      </c>
      <c r="K9" s="66" t="s">
        <v>95</v>
      </c>
      <c r="L9" s="67" t="s">
        <v>96</v>
      </c>
      <c r="M9" s="68" t="s">
        <v>97</v>
      </c>
      <c r="N9" s="65" t="s">
        <v>13</v>
      </c>
      <c r="O9" s="67" t="s">
        <v>98</v>
      </c>
      <c r="P9" s="67" t="s">
        <v>99</v>
      </c>
      <c r="Q9" s="65">
        <v>194</v>
      </c>
      <c r="R9" s="69">
        <v>0</v>
      </c>
      <c r="S9" s="69">
        <v>35736.480000000003</v>
      </c>
      <c r="T9" s="69">
        <f t="shared" si="0"/>
        <v>35736.480000000003</v>
      </c>
      <c r="U9" s="65">
        <v>8</v>
      </c>
      <c r="V9" s="70">
        <v>46023</v>
      </c>
      <c r="W9" s="60"/>
      <c r="X9" s="60"/>
      <c r="Y9" s="89" t="s">
        <v>61</v>
      </c>
    </row>
    <row r="10" spans="2:25" s="101" customFormat="1" ht="23.25">
      <c r="B10" s="90" t="s">
        <v>100</v>
      </c>
      <c r="C10" s="91" t="s">
        <v>101</v>
      </c>
      <c r="D10" s="92" t="s">
        <v>14</v>
      </c>
      <c r="E10" s="104" t="s">
        <v>102</v>
      </c>
      <c r="F10" s="90" t="s">
        <v>53</v>
      </c>
      <c r="G10" s="92" t="s">
        <v>54</v>
      </c>
      <c r="H10" s="93">
        <v>2500</v>
      </c>
      <c r="I10" s="94" t="s">
        <v>103</v>
      </c>
      <c r="J10" s="95" t="s">
        <v>56</v>
      </c>
      <c r="K10" s="96" t="s">
        <v>95</v>
      </c>
      <c r="L10" s="97" t="s">
        <v>104</v>
      </c>
      <c r="M10" s="98" t="s">
        <v>105</v>
      </c>
      <c r="N10" s="95" t="s">
        <v>14</v>
      </c>
      <c r="O10" s="97" t="s">
        <v>106</v>
      </c>
      <c r="P10" s="97"/>
      <c r="Q10" s="95">
        <v>64</v>
      </c>
      <c r="R10" s="99">
        <v>20862.900000000001</v>
      </c>
      <c r="S10" s="99">
        <v>0</v>
      </c>
      <c r="T10" s="99">
        <f t="shared" si="0"/>
        <v>20862.900000000001</v>
      </c>
      <c r="U10" s="95">
        <v>0</v>
      </c>
      <c r="V10" s="100">
        <v>46259</v>
      </c>
      <c r="W10" s="90"/>
      <c r="X10" s="90"/>
      <c r="Y10" s="90" t="s">
        <v>107</v>
      </c>
    </row>
    <row r="11" spans="2:25" ht="33">
      <c r="B11" s="60" t="s">
        <v>108</v>
      </c>
      <c r="C11" s="61" t="s">
        <v>109</v>
      </c>
      <c r="D11" s="62" t="s">
        <v>13</v>
      </c>
      <c r="E11" s="103" t="s">
        <v>84</v>
      </c>
      <c r="F11" s="60" t="s">
        <v>53</v>
      </c>
      <c r="G11" s="62" t="s">
        <v>54</v>
      </c>
      <c r="H11" s="63">
        <v>1784.94</v>
      </c>
      <c r="I11" s="64" t="s">
        <v>110</v>
      </c>
      <c r="J11" s="65" t="s">
        <v>56</v>
      </c>
      <c r="K11" s="66" t="s">
        <v>95</v>
      </c>
      <c r="L11" s="67" t="s">
        <v>104</v>
      </c>
      <c r="M11" s="68" t="s">
        <v>111</v>
      </c>
      <c r="N11" s="65" t="s">
        <v>13</v>
      </c>
      <c r="O11" s="67" t="s">
        <v>112</v>
      </c>
      <c r="P11" s="67" t="s">
        <v>113</v>
      </c>
      <c r="Q11" s="65">
        <v>44</v>
      </c>
      <c r="R11" s="69">
        <v>4955.97</v>
      </c>
      <c r="S11" s="69">
        <v>0</v>
      </c>
      <c r="T11" s="69">
        <f t="shared" si="0"/>
        <v>4955.97</v>
      </c>
      <c r="U11" s="65">
        <v>0</v>
      </c>
      <c r="V11" s="70">
        <v>46259</v>
      </c>
      <c r="W11" s="60"/>
      <c r="X11" s="60"/>
      <c r="Y11" s="89" t="s">
        <v>114</v>
      </c>
    </row>
    <row r="12" spans="2:25" s="101" customFormat="1">
      <c r="B12" s="90" t="s">
        <v>115</v>
      </c>
      <c r="C12" s="91" t="s">
        <v>116</v>
      </c>
      <c r="D12" s="92" t="s">
        <v>13</v>
      </c>
      <c r="E12" s="104" t="s">
        <v>117</v>
      </c>
      <c r="F12" s="90" t="s">
        <v>53</v>
      </c>
      <c r="G12" s="92" t="s">
        <v>54</v>
      </c>
      <c r="H12" s="93">
        <v>1261.92</v>
      </c>
      <c r="I12" s="94" t="s">
        <v>118</v>
      </c>
      <c r="J12" s="95" t="s">
        <v>56</v>
      </c>
      <c r="K12" s="96" t="s">
        <v>95</v>
      </c>
      <c r="L12" s="97" t="s">
        <v>104</v>
      </c>
      <c r="M12" s="98"/>
      <c r="N12" s="95" t="s">
        <v>13</v>
      </c>
      <c r="O12" s="97" t="s">
        <v>119</v>
      </c>
      <c r="P12" s="97" t="s">
        <v>120</v>
      </c>
      <c r="Q12" s="95">
        <v>59</v>
      </c>
      <c r="R12" s="99">
        <v>2523.84</v>
      </c>
      <c r="S12" s="99">
        <v>0</v>
      </c>
      <c r="T12" s="99">
        <f t="shared" si="0"/>
        <v>2523.84</v>
      </c>
      <c r="U12" s="95">
        <v>0</v>
      </c>
      <c r="V12" s="100">
        <v>46259</v>
      </c>
      <c r="W12" s="90"/>
      <c r="X12" s="90"/>
      <c r="Y12" s="105" t="s">
        <v>121</v>
      </c>
    </row>
    <row r="13" spans="2:25" s="101" customFormat="1" ht="44.25">
      <c r="B13" s="90" t="s">
        <v>122</v>
      </c>
      <c r="C13" s="91" t="s">
        <v>123</v>
      </c>
      <c r="D13" s="92" t="s">
        <v>13</v>
      </c>
      <c r="E13" s="104" t="s">
        <v>124</v>
      </c>
      <c r="F13" s="90" t="s">
        <v>53</v>
      </c>
      <c r="G13" s="92" t="s">
        <v>54</v>
      </c>
      <c r="H13" s="93">
        <v>1200</v>
      </c>
      <c r="I13" s="94" t="s">
        <v>125</v>
      </c>
      <c r="J13" s="95" t="s">
        <v>56</v>
      </c>
      <c r="K13" s="96" t="s">
        <v>95</v>
      </c>
      <c r="L13" s="97" t="s">
        <v>104</v>
      </c>
      <c r="M13" s="98" t="s">
        <v>126</v>
      </c>
      <c r="N13" s="95" t="s">
        <v>13</v>
      </c>
      <c r="O13" s="97" t="s">
        <v>119</v>
      </c>
      <c r="P13" s="97" t="s">
        <v>127</v>
      </c>
      <c r="Q13" s="95">
        <v>53</v>
      </c>
      <c r="R13" s="99">
        <v>2400</v>
      </c>
      <c r="S13" s="99">
        <v>0</v>
      </c>
      <c r="T13" s="99">
        <f t="shared" si="0"/>
        <v>2400</v>
      </c>
      <c r="U13" s="95">
        <v>0</v>
      </c>
      <c r="V13" s="100">
        <v>46259</v>
      </c>
      <c r="W13" s="90"/>
      <c r="X13" s="90"/>
      <c r="Y13" s="105" t="s">
        <v>121</v>
      </c>
    </row>
    <row r="14" spans="2:25" s="101" customFormat="1">
      <c r="B14" s="90" t="s">
        <v>128</v>
      </c>
      <c r="C14" s="91" t="s">
        <v>129</v>
      </c>
      <c r="D14" s="92" t="s">
        <v>14</v>
      </c>
      <c r="E14" s="104" t="s">
        <v>130</v>
      </c>
      <c r="F14" s="90" t="s">
        <v>53</v>
      </c>
      <c r="G14" s="92" t="s">
        <v>54</v>
      </c>
      <c r="H14" s="93">
        <v>650</v>
      </c>
      <c r="I14" s="94"/>
      <c r="J14" s="95" t="s">
        <v>56</v>
      </c>
      <c r="K14" s="96" t="s">
        <v>95</v>
      </c>
      <c r="L14" s="97" t="s">
        <v>104</v>
      </c>
      <c r="M14" s="98" t="s">
        <v>131</v>
      </c>
      <c r="N14" s="95" t="s">
        <v>14</v>
      </c>
      <c r="O14" s="97" t="s">
        <v>112</v>
      </c>
      <c r="P14" s="97"/>
      <c r="Q14" s="95">
        <v>96</v>
      </c>
      <c r="R14" s="99">
        <v>2600</v>
      </c>
      <c r="S14" s="99">
        <v>0</v>
      </c>
      <c r="T14" s="99">
        <f t="shared" si="0"/>
        <v>2600</v>
      </c>
      <c r="U14" s="95">
        <v>0</v>
      </c>
      <c r="V14" s="100">
        <v>46259</v>
      </c>
      <c r="W14" s="90"/>
      <c r="X14" s="90"/>
      <c r="Y14" s="101" t="s">
        <v>132</v>
      </c>
    </row>
    <row r="15" spans="2:25" s="101" customFormat="1">
      <c r="B15" s="90" t="s">
        <v>133</v>
      </c>
      <c r="C15" s="91" t="s">
        <v>134</v>
      </c>
      <c r="D15" s="92" t="s">
        <v>14</v>
      </c>
      <c r="E15" s="104" t="s">
        <v>130</v>
      </c>
      <c r="F15" s="90" t="s">
        <v>53</v>
      </c>
      <c r="G15" s="92" t="s">
        <v>54</v>
      </c>
      <c r="H15" s="93">
        <v>565</v>
      </c>
      <c r="I15" s="94"/>
      <c r="J15" s="95" t="s">
        <v>56</v>
      </c>
      <c r="K15" s="96" t="s">
        <v>95</v>
      </c>
      <c r="L15" s="97" t="s">
        <v>104</v>
      </c>
      <c r="M15" s="98" t="s">
        <v>131</v>
      </c>
      <c r="N15" s="95" t="s">
        <v>14</v>
      </c>
      <c r="O15" s="97" t="s">
        <v>135</v>
      </c>
      <c r="P15" s="97"/>
      <c r="Q15" s="95">
        <v>100</v>
      </c>
      <c r="R15" s="99">
        <v>2531.6799999999998</v>
      </c>
      <c r="S15" s="99">
        <v>0</v>
      </c>
      <c r="T15" s="99">
        <f t="shared" si="0"/>
        <v>2531.6799999999998</v>
      </c>
      <c r="U15" s="95">
        <v>0</v>
      </c>
      <c r="V15" s="100">
        <v>46259</v>
      </c>
      <c r="W15" s="90"/>
      <c r="X15" s="90"/>
      <c r="Y15" s="101" t="s">
        <v>136</v>
      </c>
    </row>
    <row r="16" spans="2:25" ht="44.25">
      <c r="B16" s="60" t="s">
        <v>137</v>
      </c>
      <c r="C16" s="61" t="s">
        <v>138</v>
      </c>
      <c r="D16" s="62" t="s">
        <v>14</v>
      </c>
      <c r="E16" s="103" t="s">
        <v>139</v>
      </c>
      <c r="F16" s="60" t="s">
        <v>53</v>
      </c>
      <c r="G16" s="62" t="s">
        <v>54</v>
      </c>
      <c r="H16" s="63">
        <v>491.6</v>
      </c>
      <c r="I16" s="64" t="s">
        <v>140</v>
      </c>
      <c r="J16" s="65" t="s">
        <v>56</v>
      </c>
      <c r="K16" s="66" t="s">
        <v>95</v>
      </c>
      <c r="L16" s="67" t="s">
        <v>104</v>
      </c>
      <c r="M16" s="68" t="s">
        <v>141</v>
      </c>
      <c r="N16" s="65" t="s">
        <v>14</v>
      </c>
      <c r="O16" s="67" t="s">
        <v>112</v>
      </c>
      <c r="P16" s="67"/>
      <c r="Q16" s="65">
        <v>96</v>
      </c>
      <c r="R16" s="69">
        <v>1474.8</v>
      </c>
      <c r="S16" s="69">
        <v>491.6</v>
      </c>
      <c r="T16" s="69">
        <f t="shared" si="0"/>
        <v>1966.4</v>
      </c>
      <c r="U16" s="65">
        <v>1</v>
      </c>
      <c r="V16" s="70">
        <v>46204</v>
      </c>
      <c r="W16" s="60"/>
      <c r="X16" s="60"/>
    </row>
    <row r="17" spans="2:25" s="101" customFormat="1">
      <c r="B17" s="90" t="s">
        <v>142</v>
      </c>
      <c r="C17" s="91" t="s">
        <v>143</v>
      </c>
      <c r="D17" s="92" t="s">
        <v>14</v>
      </c>
      <c r="E17" s="104" t="s">
        <v>117</v>
      </c>
      <c r="F17" s="90" t="s">
        <v>53</v>
      </c>
      <c r="G17" s="92" t="s">
        <v>54</v>
      </c>
      <c r="H17" s="93">
        <v>427.11</v>
      </c>
      <c r="I17" s="94"/>
      <c r="J17" s="95" t="s">
        <v>56</v>
      </c>
      <c r="K17" s="96" t="s">
        <v>95</v>
      </c>
      <c r="L17" s="97" t="s">
        <v>104</v>
      </c>
      <c r="M17" s="98" t="s">
        <v>144</v>
      </c>
      <c r="N17" s="95" t="s">
        <v>14</v>
      </c>
      <c r="O17" s="97" t="s">
        <v>112</v>
      </c>
      <c r="P17" s="97"/>
      <c r="Q17" s="95">
        <v>105</v>
      </c>
      <c r="R17" s="99">
        <v>1381.31</v>
      </c>
      <c r="S17" s="99">
        <v>0</v>
      </c>
      <c r="T17" s="99">
        <f t="shared" si="0"/>
        <v>1381.31</v>
      </c>
      <c r="U17" s="95">
        <v>0</v>
      </c>
      <c r="V17" s="100">
        <v>46259</v>
      </c>
      <c r="W17" s="90"/>
      <c r="X17" s="90"/>
      <c r="Y17" s="101" t="s">
        <v>145</v>
      </c>
    </row>
    <row r="18" spans="2:25" ht="77.25">
      <c r="B18" s="60" t="s">
        <v>146</v>
      </c>
      <c r="C18" s="61" t="s">
        <v>147</v>
      </c>
      <c r="D18" s="62" t="s">
        <v>14</v>
      </c>
      <c r="E18" s="103" t="s">
        <v>148</v>
      </c>
      <c r="F18" s="60" t="s">
        <v>53</v>
      </c>
      <c r="G18" s="62" t="s">
        <v>54</v>
      </c>
      <c r="H18" s="63">
        <v>10686.36</v>
      </c>
      <c r="I18" s="64" t="s">
        <v>149</v>
      </c>
      <c r="J18" s="65" t="s">
        <v>56</v>
      </c>
      <c r="K18" s="66" t="s">
        <v>95</v>
      </c>
      <c r="L18" s="67" t="s">
        <v>150</v>
      </c>
      <c r="M18" s="68" t="s">
        <v>151</v>
      </c>
      <c r="N18" s="65" t="s">
        <v>14</v>
      </c>
      <c r="O18" s="67" t="s">
        <v>112</v>
      </c>
      <c r="P18" s="67"/>
      <c r="Q18" s="65">
        <v>406</v>
      </c>
      <c r="R18" s="69">
        <v>14877.45</v>
      </c>
      <c r="S18" s="69">
        <f>890.53*2</f>
        <v>1781.06</v>
      </c>
      <c r="T18" s="69">
        <f t="shared" si="0"/>
        <v>16658.510000000002</v>
      </c>
      <c r="U18" s="65">
        <v>2</v>
      </c>
      <c r="V18" s="70">
        <v>45901</v>
      </c>
      <c r="W18" s="60"/>
      <c r="X18" s="60"/>
    </row>
    <row r="19" spans="2:25" s="116" customFormat="1" ht="66.75">
      <c r="B19" s="106" t="s">
        <v>152</v>
      </c>
      <c r="C19" s="107" t="s">
        <v>153</v>
      </c>
      <c r="D19" s="106" t="s">
        <v>13</v>
      </c>
      <c r="E19" s="108" t="s">
        <v>154</v>
      </c>
      <c r="F19" s="106" t="s">
        <v>53</v>
      </c>
      <c r="G19" s="106" t="s">
        <v>54</v>
      </c>
      <c r="H19" s="109">
        <v>2202.9699999999998</v>
      </c>
      <c r="I19" s="110" t="s">
        <v>155</v>
      </c>
      <c r="J19" s="111" t="s">
        <v>56</v>
      </c>
      <c r="K19" s="108" t="s">
        <v>95</v>
      </c>
      <c r="L19" s="112" t="s">
        <v>150</v>
      </c>
      <c r="M19" s="113" t="s">
        <v>156</v>
      </c>
      <c r="N19" s="111" t="s">
        <v>13</v>
      </c>
      <c r="O19" s="112" t="s">
        <v>157</v>
      </c>
      <c r="P19" s="112" t="s">
        <v>158</v>
      </c>
      <c r="Q19" s="111">
        <v>378</v>
      </c>
      <c r="R19" s="114">
        <v>2067.4699999999998</v>
      </c>
      <c r="S19" s="114">
        <v>22029.7</v>
      </c>
      <c r="T19" s="114">
        <f t="shared" si="0"/>
        <v>24097.170000000002</v>
      </c>
      <c r="U19" s="111">
        <v>10</v>
      </c>
      <c r="V19" s="115">
        <v>37591</v>
      </c>
      <c r="W19" s="106"/>
      <c r="X19" s="106"/>
      <c r="Y19" s="107" t="s">
        <v>114</v>
      </c>
    </row>
    <row r="20" spans="2:25" s="116" customFormat="1" ht="33">
      <c r="B20" s="106" t="s">
        <v>159</v>
      </c>
      <c r="C20" s="107" t="s">
        <v>160</v>
      </c>
      <c r="D20" s="106" t="s">
        <v>14</v>
      </c>
      <c r="E20" s="108" t="s">
        <v>161</v>
      </c>
      <c r="F20" s="106" t="s">
        <v>53</v>
      </c>
      <c r="G20" s="106" t="s">
        <v>54</v>
      </c>
      <c r="H20" s="109">
        <v>1580</v>
      </c>
      <c r="I20" s="110" t="s">
        <v>162</v>
      </c>
      <c r="J20" s="111" t="s">
        <v>56</v>
      </c>
      <c r="K20" s="108" t="s">
        <v>95</v>
      </c>
      <c r="L20" s="112" t="s">
        <v>104</v>
      </c>
      <c r="M20" s="113" t="s">
        <v>163</v>
      </c>
      <c r="N20" s="111" t="s">
        <v>14</v>
      </c>
      <c r="O20" s="112" t="s">
        <v>112</v>
      </c>
      <c r="P20" s="112"/>
      <c r="Q20" s="111">
        <v>125</v>
      </c>
      <c r="R20" s="114">
        <v>5959.02</v>
      </c>
      <c r="S20" s="114">
        <v>7900</v>
      </c>
      <c r="T20" s="114">
        <f t="shared" si="0"/>
        <v>13859.02</v>
      </c>
      <c r="U20" s="111">
        <v>5</v>
      </c>
      <c r="V20" s="115">
        <v>46094</v>
      </c>
      <c r="W20" s="106"/>
      <c r="X20" s="106"/>
    </row>
    <row r="21" spans="2:25" ht="22.5">
      <c r="B21" s="60" t="s">
        <v>164</v>
      </c>
      <c r="C21" s="61" t="s">
        <v>165</v>
      </c>
      <c r="D21" s="62" t="s">
        <v>14</v>
      </c>
      <c r="E21" s="103" t="s">
        <v>166</v>
      </c>
      <c r="F21" s="60" t="s">
        <v>53</v>
      </c>
      <c r="G21" s="62" t="s">
        <v>54</v>
      </c>
      <c r="H21" s="63">
        <v>902.5</v>
      </c>
      <c r="I21" s="64" t="s">
        <v>167</v>
      </c>
      <c r="J21" s="65" t="s">
        <v>168</v>
      </c>
      <c r="K21" s="66" t="s">
        <v>95</v>
      </c>
      <c r="L21" s="67" t="s">
        <v>150</v>
      </c>
      <c r="M21" s="68" t="s">
        <v>169</v>
      </c>
      <c r="N21" s="65" t="s">
        <v>14</v>
      </c>
      <c r="O21" s="67" t="s">
        <v>170</v>
      </c>
      <c r="P21" s="67"/>
      <c r="Q21" s="65">
        <v>278</v>
      </c>
      <c r="R21" s="69">
        <v>9610</v>
      </c>
      <c r="S21" s="69">
        <v>6317.5</v>
      </c>
      <c r="T21" s="69">
        <f t="shared" si="0"/>
        <v>15927.5</v>
      </c>
      <c r="U21" s="65">
        <v>7</v>
      </c>
      <c r="V21" s="70">
        <v>46050</v>
      </c>
      <c r="W21" s="60"/>
      <c r="X21" s="60"/>
    </row>
    <row r="22" spans="2:25" s="128" customFormat="1" ht="109.5" customHeight="1">
      <c r="B22" s="118" t="s">
        <v>171</v>
      </c>
      <c r="C22" s="119" t="s">
        <v>172</v>
      </c>
      <c r="D22" s="118" t="s">
        <v>14</v>
      </c>
      <c r="E22" s="120" t="s">
        <v>173</v>
      </c>
      <c r="F22" s="118" t="s">
        <v>53</v>
      </c>
      <c r="G22" s="118" t="s">
        <v>54</v>
      </c>
      <c r="H22" s="121">
        <v>850</v>
      </c>
      <c r="I22" s="122" t="s">
        <v>174</v>
      </c>
      <c r="J22" s="123" t="s">
        <v>56</v>
      </c>
      <c r="K22" s="120" t="s">
        <v>95</v>
      </c>
      <c r="L22" s="124" t="s">
        <v>104</v>
      </c>
      <c r="M22" s="125" t="s">
        <v>175</v>
      </c>
      <c r="N22" s="123" t="s">
        <v>14</v>
      </c>
      <c r="O22" s="124" t="s">
        <v>176</v>
      </c>
      <c r="P22" s="124"/>
      <c r="Q22" s="123">
        <v>409</v>
      </c>
      <c r="R22" s="126">
        <v>1700</v>
      </c>
      <c r="S22" s="126">
        <v>4250</v>
      </c>
      <c r="T22" s="126">
        <f t="shared" si="0"/>
        <v>5950</v>
      </c>
      <c r="U22" s="123">
        <v>5</v>
      </c>
      <c r="V22" s="127">
        <v>46114</v>
      </c>
      <c r="W22" s="118"/>
      <c r="X22" s="118"/>
    </row>
    <row r="23" spans="2:25" ht="22.5">
      <c r="B23" s="60" t="s">
        <v>177</v>
      </c>
      <c r="C23" s="61" t="s">
        <v>178</v>
      </c>
      <c r="D23" s="62" t="s">
        <v>14</v>
      </c>
      <c r="E23" s="103" t="s">
        <v>179</v>
      </c>
      <c r="F23" s="60" t="s">
        <v>53</v>
      </c>
      <c r="G23" s="62" t="s">
        <v>54</v>
      </c>
      <c r="H23" s="63">
        <v>750</v>
      </c>
      <c r="I23" s="64" t="s">
        <v>180</v>
      </c>
      <c r="J23" s="65" t="s">
        <v>168</v>
      </c>
      <c r="K23" s="66" t="s">
        <v>95</v>
      </c>
      <c r="L23" s="67" t="s">
        <v>150</v>
      </c>
      <c r="M23" s="68" t="s">
        <v>181</v>
      </c>
      <c r="N23" s="65" t="s">
        <v>14</v>
      </c>
      <c r="O23" s="67" t="s">
        <v>182</v>
      </c>
      <c r="P23" s="67"/>
      <c r="Q23" s="65">
        <v>333</v>
      </c>
      <c r="R23" s="69">
        <v>9000</v>
      </c>
      <c r="S23" s="69">
        <v>6000</v>
      </c>
      <c r="T23" s="69">
        <f t="shared" si="0"/>
        <v>15000</v>
      </c>
      <c r="U23" s="65">
        <v>8</v>
      </c>
      <c r="V23" s="70">
        <v>46054</v>
      </c>
      <c r="W23" s="60"/>
      <c r="X23" s="60"/>
    </row>
    <row r="24" spans="2:25" ht="22.5">
      <c r="B24" s="60" t="s">
        <v>183</v>
      </c>
      <c r="C24" s="61" t="s">
        <v>184</v>
      </c>
      <c r="D24" s="62" t="s">
        <v>14</v>
      </c>
      <c r="E24" s="103" t="s">
        <v>185</v>
      </c>
      <c r="F24" s="60" t="s">
        <v>53</v>
      </c>
      <c r="G24" s="62" t="s">
        <v>54</v>
      </c>
      <c r="H24" s="63">
        <v>565.05999999999995</v>
      </c>
      <c r="I24" s="64" t="s">
        <v>186</v>
      </c>
      <c r="J24" s="65" t="s">
        <v>168</v>
      </c>
      <c r="K24" s="66" t="s">
        <v>95</v>
      </c>
      <c r="L24" s="67" t="s">
        <v>150</v>
      </c>
      <c r="M24" s="68" t="s">
        <v>187</v>
      </c>
      <c r="N24" s="65" t="s">
        <v>14</v>
      </c>
      <c r="O24" s="67" t="s">
        <v>188</v>
      </c>
      <c r="P24" s="67"/>
      <c r="Q24" s="65">
        <v>357</v>
      </c>
      <c r="R24" s="69">
        <v>6780.76</v>
      </c>
      <c r="S24" s="69">
        <v>565.1</v>
      </c>
      <c r="T24" s="69">
        <f t="shared" si="0"/>
        <v>7345.8600000000006</v>
      </c>
      <c r="U24" s="65">
        <v>1</v>
      </c>
      <c r="V24" s="70">
        <v>45931</v>
      </c>
      <c r="W24" s="60"/>
      <c r="X24" s="60"/>
    </row>
    <row r="25" spans="2:25" s="116" customFormat="1" ht="55.5">
      <c r="B25" s="106" t="s">
        <v>189</v>
      </c>
      <c r="C25" s="107" t="s">
        <v>190</v>
      </c>
      <c r="D25" s="106" t="s">
        <v>14</v>
      </c>
      <c r="E25" s="108" t="s">
        <v>191</v>
      </c>
      <c r="F25" s="106" t="s">
        <v>53</v>
      </c>
      <c r="G25" s="106" t="s">
        <v>54</v>
      </c>
      <c r="H25" s="109">
        <v>423.01</v>
      </c>
      <c r="I25" s="110" t="s">
        <v>192</v>
      </c>
      <c r="J25" s="111" t="s">
        <v>56</v>
      </c>
      <c r="K25" s="108" t="s">
        <v>95</v>
      </c>
      <c r="L25" s="112" t="s">
        <v>104</v>
      </c>
      <c r="M25" s="113" t="s">
        <v>193</v>
      </c>
      <c r="N25" s="111" t="s">
        <v>14</v>
      </c>
      <c r="O25" s="112" t="s">
        <v>135</v>
      </c>
      <c r="P25" s="112"/>
      <c r="Q25" s="111">
        <v>217</v>
      </c>
      <c r="R25" s="114">
        <v>1678.29</v>
      </c>
      <c r="S25" s="114">
        <v>0</v>
      </c>
      <c r="T25" s="114">
        <f t="shared" si="0"/>
        <v>1678.29</v>
      </c>
      <c r="U25" s="111">
        <v>0</v>
      </c>
      <c r="V25" s="115">
        <v>46225</v>
      </c>
      <c r="W25" s="106"/>
      <c r="X25" s="106"/>
    </row>
    <row r="26" spans="2:25" ht="23.25">
      <c r="B26" s="60" t="s">
        <v>194</v>
      </c>
      <c r="C26" s="61" t="s">
        <v>195</v>
      </c>
      <c r="D26" s="62" t="s">
        <v>14</v>
      </c>
      <c r="E26" s="103" t="s">
        <v>196</v>
      </c>
      <c r="F26" s="60" t="s">
        <v>53</v>
      </c>
      <c r="G26" s="62" t="s">
        <v>54</v>
      </c>
      <c r="H26" s="63">
        <v>373</v>
      </c>
      <c r="I26" s="64" t="s">
        <v>197</v>
      </c>
      <c r="J26" s="65" t="s">
        <v>168</v>
      </c>
      <c r="K26" s="66" t="s">
        <v>95</v>
      </c>
      <c r="L26" s="67" t="s">
        <v>150</v>
      </c>
      <c r="M26" s="68" t="s">
        <v>198</v>
      </c>
      <c r="N26" s="65" t="s">
        <v>14</v>
      </c>
      <c r="O26" s="67" t="s">
        <v>188</v>
      </c>
      <c r="P26" s="67"/>
      <c r="Q26" s="65">
        <v>327</v>
      </c>
      <c r="R26" s="69">
        <v>2611</v>
      </c>
      <c r="S26" s="69">
        <v>1865</v>
      </c>
      <c r="T26" s="69">
        <f t="shared" si="0"/>
        <v>4476</v>
      </c>
      <c r="U26" s="65">
        <v>5</v>
      </c>
      <c r="V26" s="70">
        <v>45809</v>
      </c>
      <c r="W26" s="60"/>
      <c r="X26" s="60"/>
    </row>
    <row r="27" spans="2:25" ht="23.25">
      <c r="B27" s="60" t="s">
        <v>199</v>
      </c>
      <c r="C27" s="61" t="s">
        <v>200</v>
      </c>
      <c r="D27" s="62" t="s">
        <v>14</v>
      </c>
      <c r="E27" s="103"/>
      <c r="F27" s="60" t="s">
        <v>53</v>
      </c>
      <c r="G27" s="62" t="s">
        <v>54</v>
      </c>
      <c r="H27" s="63">
        <v>118.46</v>
      </c>
      <c r="I27" s="64" t="s">
        <v>201</v>
      </c>
      <c r="J27" s="65" t="s">
        <v>56</v>
      </c>
      <c r="K27" s="66" t="s">
        <v>95</v>
      </c>
      <c r="L27" s="67" t="s">
        <v>104</v>
      </c>
      <c r="M27" s="68" t="s">
        <v>202</v>
      </c>
      <c r="N27" s="65" t="s">
        <v>14</v>
      </c>
      <c r="O27" s="67" t="s">
        <v>112</v>
      </c>
      <c r="P27" s="67"/>
      <c r="Q27" s="65">
        <v>127</v>
      </c>
      <c r="R27" s="69">
        <v>346.02</v>
      </c>
      <c r="S27" s="69">
        <v>355.38</v>
      </c>
      <c r="T27" s="69">
        <f t="shared" si="0"/>
        <v>701.4</v>
      </c>
      <c r="U27" s="65">
        <v>3</v>
      </c>
      <c r="V27" s="70">
        <v>46176</v>
      </c>
      <c r="W27" s="60"/>
      <c r="X27" s="60"/>
    </row>
    <row r="28" spans="2:25" s="116" customFormat="1" ht="99">
      <c r="B28" s="106" t="s">
        <v>203</v>
      </c>
      <c r="C28" s="107" t="s">
        <v>204</v>
      </c>
      <c r="D28" s="106" t="s">
        <v>14</v>
      </c>
      <c r="E28" s="108" t="s">
        <v>205</v>
      </c>
      <c r="F28" s="106" t="s">
        <v>53</v>
      </c>
      <c r="G28" s="106" t="s">
        <v>54</v>
      </c>
      <c r="H28" s="109">
        <v>1500</v>
      </c>
      <c r="I28" s="110" t="s">
        <v>206</v>
      </c>
      <c r="J28" s="111"/>
      <c r="K28" s="108"/>
      <c r="L28" s="112"/>
      <c r="M28" s="117" t="s">
        <v>207</v>
      </c>
      <c r="N28" s="111" t="s">
        <v>14</v>
      </c>
      <c r="O28" s="112" t="s">
        <v>208</v>
      </c>
      <c r="P28" s="112"/>
      <c r="Q28" s="111">
        <v>60</v>
      </c>
      <c r="R28" s="114">
        <v>9000</v>
      </c>
      <c r="S28" s="114">
        <v>0</v>
      </c>
      <c r="T28" s="114">
        <f t="shared" si="0"/>
        <v>9000</v>
      </c>
      <c r="U28" s="111">
        <v>0</v>
      </c>
      <c r="V28" s="115">
        <v>46261</v>
      </c>
      <c r="W28" s="106"/>
      <c r="X28" s="106"/>
    </row>
    <row r="29" spans="2:25" s="101" customFormat="1" ht="22.5">
      <c r="B29" s="90" t="s">
        <v>209</v>
      </c>
      <c r="C29" s="91" t="s">
        <v>210</v>
      </c>
      <c r="D29" s="92" t="s">
        <v>14</v>
      </c>
      <c r="E29" s="104" t="s">
        <v>211</v>
      </c>
      <c r="F29" s="90" t="s">
        <v>53</v>
      </c>
      <c r="G29" s="92" t="s">
        <v>54</v>
      </c>
      <c r="H29" s="93">
        <v>1398.65</v>
      </c>
      <c r="I29" s="94"/>
      <c r="J29" s="95"/>
      <c r="K29" s="96"/>
      <c r="L29" s="97"/>
      <c r="M29" s="98"/>
      <c r="N29" s="95" t="s">
        <v>14</v>
      </c>
      <c r="O29" s="97" t="s">
        <v>182</v>
      </c>
      <c r="P29" s="97"/>
      <c r="Q29" s="95">
        <v>37</v>
      </c>
      <c r="R29" s="99">
        <v>2797.3</v>
      </c>
      <c r="S29" s="99">
        <v>0</v>
      </c>
      <c r="T29" s="99">
        <f t="shared" si="0"/>
        <v>2797.3</v>
      </c>
      <c r="U29" s="95">
        <v>0</v>
      </c>
      <c r="V29" s="100">
        <v>46261</v>
      </c>
      <c r="W29" s="90"/>
      <c r="X29" s="90"/>
    </row>
    <row r="30" spans="2:25" ht="15" customHeight="1">
      <c r="C30" s="39" t="s">
        <v>212</v>
      </c>
      <c r="D30" s="55" t="s">
        <v>14</v>
      </c>
      <c r="E30" s="102" t="s">
        <v>213</v>
      </c>
    </row>
    <row r="33" spans="7:8">
      <c r="G33" s="87"/>
      <c r="H33" s="88"/>
    </row>
    <row r="1048563" spans="25:25">
      <c r="Y1048563" s="59"/>
    </row>
    <row r="1048564" spans="25:25">
      <c r="Y1048564" s="60"/>
    </row>
    <row r="1048565" spans="25:25">
      <c r="Y1048565" s="60"/>
    </row>
    <row r="1048566" spans="25:25">
      <c r="Y1048566" s="60"/>
    </row>
    <row r="1048567" spans="25:25">
      <c r="Y1048567" s="60"/>
    </row>
    <row r="1048568" spans="25:25">
      <c r="Y1048568" s="60"/>
    </row>
    <row r="1048569" spans="25:25">
      <c r="Y1048569" s="60"/>
    </row>
    <row r="1048570" spans="25:25">
      <c r="Y1048570" s="60"/>
    </row>
    <row r="1048571" spans="25:25">
      <c r="Y1048571" s="60"/>
    </row>
    <row r="1048572" spans="25:25">
      <c r="Y1048572" s="60"/>
    </row>
    <row r="1048573" spans="25:25">
      <c r="Y1048573" s="60"/>
    </row>
  </sheetData>
  <autoFilter ref="B3:X29" xr:uid="{CF274C26-F349-4396-901C-96C127185AB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BD8C-EBD6-4AC0-A603-68D3B7949033}">
  <dimension ref="B3:L32"/>
  <sheetViews>
    <sheetView showGridLines="0" workbookViewId="0">
      <pane ySplit="4" topLeftCell="B5" activePane="bottomLeft" state="frozen"/>
      <selection pane="bottomLeft" activeCell="H6" sqref="H6"/>
    </sheetView>
  </sheetViews>
  <sheetFormatPr defaultRowHeight="15" customHeight="1"/>
  <cols>
    <col min="1" max="1" width="1.7109375" customWidth="1"/>
    <col min="2" max="2" width="23" bestFit="1" customWidth="1"/>
    <col min="3" max="3" width="10.28515625" bestFit="1" customWidth="1"/>
    <col min="4" max="4" width="48.5703125" bestFit="1" customWidth="1"/>
    <col min="5" max="5" width="48.5703125" customWidth="1"/>
    <col min="6" max="6" width="17.140625" style="3" bestFit="1" customWidth="1"/>
    <col min="7" max="7" width="10.28515625" bestFit="1" customWidth="1"/>
    <col min="8" max="8" width="14.85546875" bestFit="1" customWidth="1"/>
    <col min="9" max="9" width="12.7109375" customWidth="1"/>
    <col min="10" max="10" width="21" customWidth="1"/>
    <col min="11" max="11" width="67.5703125" customWidth="1"/>
    <col min="12" max="12" width="37.28515625" customWidth="1"/>
  </cols>
  <sheetData>
    <row r="3" spans="2:12">
      <c r="B3" s="3">
        <f>COUNTA(D5:D32)</f>
        <v>28</v>
      </c>
      <c r="I3" s="71">
        <f>SUBTOTAL(9,I5:I32)</f>
        <v>44028.56</v>
      </c>
    </row>
    <row r="4" spans="2:12" ht="22.5">
      <c r="B4" s="42" t="s">
        <v>214</v>
      </c>
      <c r="C4" s="42" t="s">
        <v>215</v>
      </c>
      <c r="D4" s="42" t="s">
        <v>29</v>
      </c>
      <c r="E4" s="42" t="s">
        <v>216</v>
      </c>
      <c r="F4" s="42" t="s">
        <v>9</v>
      </c>
      <c r="G4" s="42" t="s">
        <v>217</v>
      </c>
      <c r="H4" s="42" t="s">
        <v>218</v>
      </c>
      <c r="I4" s="42" t="s">
        <v>219</v>
      </c>
      <c r="J4" s="42" t="s">
        <v>220</v>
      </c>
      <c r="K4" s="42" t="s">
        <v>221</v>
      </c>
      <c r="L4" s="43" t="s">
        <v>222</v>
      </c>
    </row>
    <row r="5" spans="2:12" ht="20.25">
      <c r="B5" s="46" t="s">
        <v>223</v>
      </c>
      <c r="C5" s="47" t="s">
        <v>224</v>
      </c>
      <c r="D5" s="46" t="s">
        <v>225</v>
      </c>
      <c r="E5" s="46"/>
      <c r="F5" s="47" t="s">
        <v>13</v>
      </c>
      <c r="G5" s="47" t="s">
        <v>53</v>
      </c>
      <c r="H5" s="47" t="s">
        <v>226</v>
      </c>
      <c r="I5" s="44">
        <v>4594.51</v>
      </c>
      <c r="J5" s="48" t="s">
        <v>227</v>
      </c>
      <c r="K5" s="45" t="s">
        <v>228</v>
      </c>
      <c r="L5" s="50" t="s">
        <v>23</v>
      </c>
    </row>
    <row r="6" spans="2:12" ht="20.25">
      <c r="B6" s="46" t="s">
        <v>223</v>
      </c>
      <c r="C6" s="47" t="s">
        <v>229</v>
      </c>
      <c r="D6" s="46" t="s">
        <v>230</v>
      </c>
      <c r="E6" s="46" t="s">
        <v>231</v>
      </c>
      <c r="F6" s="47" t="s">
        <v>13</v>
      </c>
      <c r="G6" s="47" t="s">
        <v>53</v>
      </c>
      <c r="H6" s="47" t="s">
        <v>226</v>
      </c>
      <c r="I6" s="44">
        <v>4248.62</v>
      </c>
      <c r="J6" s="48" t="s">
        <v>227</v>
      </c>
      <c r="K6" s="45" t="s">
        <v>232</v>
      </c>
      <c r="L6" s="50" t="s">
        <v>233</v>
      </c>
    </row>
    <row r="7" spans="2:12" ht="20.25">
      <c r="B7" s="46" t="s">
        <v>223</v>
      </c>
      <c r="C7" s="47" t="s">
        <v>234</v>
      </c>
      <c r="D7" s="46" t="s">
        <v>235</v>
      </c>
      <c r="E7" s="46"/>
      <c r="F7" s="47" t="s">
        <v>13</v>
      </c>
      <c r="G7" s="47" t="s">
        <v>53</v>
      </c>
      <c r="H7" s="47" t="s">
        <v>226</v>
      </c>
      <c r="I7" s="44">
        <v>3927.73</v>
      </c>
      <c r="J7" s="48" t="s">
        <v>227</v>
      </c>
      <c r="K7" s="45" t="s">
        <v>232</v>
      </c>
      <c r="L7" s="50" t="s">
        <v>236</v>
      </c>
    </row>
    <row r="8" spans="2:12" ht="20.25">
      <c r="B8" s="46" t="s">
        <v>223</v>
      </c>
      <c r="C8" s="47" t="s">
        <v>237</v>
      </c>
      <c r="D8" s="46" t="s">
        <v>238</v>
      </c>
      <c r="E8" s="46"/>
      <c r="F8" s="47" t="s">
        <v>13</v>
      </c>
      <c r="G8" s="47" t="s">
        <v>53</v>
      </c>
      <c r="H8" s="47" t="s">
        <v>226</v>
      </c>
      <c r="I8" s="44">
        <v>2581.48</v>
      </c>
      <c r="J8" s="48" t="s">
        <v>227</v>
      </c>
      <c r="K8" s="45" t="s">
        <v>239</v>
      </c>
      <c r="L8" s="50" t="s">
        <v>233</v>
      </c>
    </row>
    <row r="9" spans="2:12" ht="20.25">
      <c r="B9" s="46" t="s">
        <v>223</v>
      </c>
      <c r="C9" s="47" t="s">
        <v>240</v>
      </c>
      <c r="D9" s="46" t="s">
        <v>241</v>
      </c>
      <c r="E9" s="46"/>
      <c r="F9" s="47" t="s">
        <v>14</v>
      </c>
      <c r="G9" s="47" t="s">
        <v>53</v>
      </c>
      <c r="H9" s="47" t="s">
        <v>226</v>
      </c>
      <c r="I9" s="44">
        <v>2542.4</v>
      </c>
      <c r="J9" s="48" t="s">
        <v>227</v>
      </c>
      <c r="K9" s="45" t="s">
        <v>242</v>
      </c>
      <c r="L9" s="50" t="s">
        <v>233</v>
      </c>
    </row>
    <row r="10" spans="2:12" ht="20.25">
      <c r="B10" s="46" t="s">
        <v>223</v>
      </c>
      <c r="C10" s="47" t="s">
        <v>243</v>
      </c>
      <c r="D10" s="46" t="s">
        <v>244</v>
      </c>
      <c r="E10" s="46"/>
      <c r="F10" s="47" t="s">
        <v>14</v>
      </c>
      <c r="G10" s="47" t="s">
        <v>53</v>
      </c>
      <c r="H10" s="47" t="s">
        <v>226</v>
      </c>
      <c r="I10" s="44">
        <v>2217.92</v>
      </c>
      <c r="J10" s="48" t="s">
        <v>227</v>
      </c>
      <c r="K10" s="45" t="s">
        <v>245</v>
      </c>
      <c r="L10" s="50" t="s">
        <v>246</v>
      </c>
    </row>
    <row r="11" spans="2:12" ht="20.25">
      <c r="B11" s="46" t="s">
        <v>223</v>
      </c>
      <c r="C11" s="47" t="s">
        <v>247</v>
      </c>
      <c r="D11" s="46" t="s">
        <v>248</v>
      </c>
      <c r="E11" s="46"/>
      <c r="F11" s="47" t="s">
        <v>13</v>
      </c>
      <c r="G11" s="47" t="s">
        <v>53</v>
      </c>
      <c r="H11" s="47" t="s">
        <v>226</v>
      </c>
      <c r="I11" s="44">
        <v>2144.87</v>
      </c>
      <c r="J11" s="48" t="s">
        <v>227</v>
      </c>
      <c r="K11" s="45" t="s">
        <v>232</v>
      </c>
      <c r="L11" s="50" t="s">
        <v>246</v>
      </c>
    </row>
    <row r="12" spans="2:12" ht="20.25">
      <c r="B12" s="46" t="s">
        <v>223</v>
      </c>
      <c r="C12" s="47" t="s">
        <v>249</v>
      </c>
      <c r="D12" s="46" t="s">
        <v>250</v>
      </c>
      <c r="E12" s="46"/>
      <c r="F12" s="47" t="s">
        <v>14</v>
      </c>
      <c r="G12" s="47" t="s">
        <v>53</v>
      </c>
      <c r="H12" s="47" t="s">
        <v>226</v>
      </c>
      <c r="I12" s="44">
        <v>1950</v>
      </c>
      <c r="J12" s="48" t="s">
        <v>227</v>
      </c>
      <c r="K12" s="45" t="s">
        <v>239</v>
      </c>
      <c r="L12" s="50" t="s">
        <v>23</v>
      </c>
    </row>
    <row r="13" spans="2:12">
      <c r="B13" s="46" t="s">
        <v>223</v>
      </c>
      <c r="C13" s="47" t="s">
        <v>251</v>
      </c>
      <c r="D13" s="46" t="s">
        <v>252</v>
      </c>
      <c r="E13" s="46"/>
      <c r="F13" s="47" t="s">
        <v>13</v>
      </c>
      <c r="G13" s="47" t="s">
        <v>53</v>
      </c>
      <c r="H13" s="47" t="s">
        <v>226</v>
      </c>
      <c r="I13" s="44">
        <v>1890.33</v>
      </c>
      <c r="J13" s="48" t="s">
        <v>227</v>
      </c>
      <c r="K13" s="45" t="s">
        <v>253</v>
      </c>
      <c r="L13" s="50" t="s">
        <v>254</v>
      </c>
    </row>
    <row r="14" spans="2:12" ht="41.25">
      <c r="B14" s="46" t="s">
        <v>223</v>
      </c>
      <c r="C14" s="47" t="s">
        <v>255</v>
      </c>
      <c r="D14" s="46" t="s">
        <v>256</v>
      </c>
      <c r="E14" s="46"/>
      <c r="F14" s="47" t="s">
        <v>13</v>
      </c>
      <c r="G14" s="47" t="s">
        <v>53</v>
      </c>
      <c r="H14" s="47" t="s">
        <v>226</v>
      </c>
      <c r="I14" s="44">
        <v>1654.4</v>
      </c>
      <c r="J14" s="48" t="s">
        <v>227</v>
      </c>
      <c r="K14" s="45" t="s">
        <v>257</v>
      </c>
      <c r="L14" s="50" t="s">
        <v>254</v>
      </c>
    </row>
    <row r="15" spans="2:12" ht="20.25">
      <c r="B15" s="46" t="s">
        <v>223</v>
      </c>
      <c r="C15" s="47" t="s">
        <v>258</v>
      </c>
      <c r="D15" s="46" t="s">
        <v>230</v>
      </c>
      <c r="E15" s="46"/>
      <c r="F15" s="47" t="s">
        <v>26</v>
      </c>
      <c r="G15" s="47" t="s">
        <v>53</v>
      </c>
      <c r="H15" s="47" t="s">
        <v>226</v>
      </c>
      <c r="I15" s="44">
        <v>1647.5</v>
      </c>
      <c r="J15" s="48" t="s">
        <v>227</v>
      </c>
      <c r="K15" s="45" t="s">
        <v>239</v>
      </c>
      <c r="L15" s="50" t="s">
        <v>233</v>
      </c>
    </row>
    <row r="16" spans="2:12">
      <c r="B16" s="46" t="s">
        <v>223</v>
      </c>
      <c r="C16" s="47" t="s">
        <v>259</v>
      </c>
      <c r="D16" s="46" t="s">
        <v>260</v>
      </c>
      <c r="E16" s="46"/>
      <c r="F16" s="47" t="s">
        <v>14</v>
      </c>
      <c r="G16" s="47" t="s">
        <v>53</v>
      </c>
      <c r="H16" s="47" t="s">
        <v>226</v>
      </c>
      <c r="I16" s="44">
        <v>1422.9</v>
      </c>
      <c r="J16" s="48" t="s">
        <v>227</v>
      </c>
      <c r="K16" s="45" t="s">
        <v>253</v>
      </c>
      <c r="L16" s="50" t="s">
        <v>23</v>
      </c>
    </row>
    <row r="17" spans="2:12" ht="20.25">
      <c r="B17" s="46" t="s">
        <v>223</v>
      </c>
      <c r="C17" s="47" t="s">
        <v>261</v>
      </c>
      <c r="D17" s="46" t="s">
        <v>262</v>
      </c>
      <c r="E17" s="46"/>
      <c r="F17" s="47" t="s">
        <v>26</v>
      </c>
      <c r="G17" s="47" t="s">
        <v>53</v>
      </c>
      <c r="H17" s="47" t="s">
        <v>226</v>
      </c>
      <c r="I17" s="44">
        <v>1201.6199999999999</v>
      </c>
      <c r="J17" s="48" t="s">
        <v>227</v>
      </c>
      <c r="K17" s="45" t="s">
        <v>263</v>
      </c>
      <c r="L17" s="50" t="s">
        <v>246</v>
      </c>
    </row>
    <row r="18" spans="2:12">
      <c r="B18" s="46" t="s">
        <v>223</v>
      </c>
      <c r="C18" s="47" t="s">
        <v>264</v>
      </c>
      <c r="D18" s="46" t="s">
        <v>265</v>
      </c>
      <c r="E18" s="46"/>
      <c r="F18" s="47" t="s">
        <v>14</v>
      </c>
      <c r="G18" s="47" t="s">
        <v>53</v>
      </c>
      <c r="H18" s="47" t="s">
        <v>226</v>
      </c>
      <c r="I18" s="44">
        <v>1200</v>
      </c>
      <c r="J18" s="48" t="s">
        <v>227</v>
      </c>
      <c r="K18" s="45" t="s">
        <v>253</v>
      </c>
      <c r="L18" s="50" t="s">
        <v>254</v>
      </c>
    </row>
    <row r="19" spans="2:12" ht="20.25">
      <c r="B19" s="46" t="s">
        <v>223</v>
      </c>
      <c r="C19" s="47" t="s">
        <v>266</v>
      </c>
      <c r="D19" s="46" t="s">
        <v>267</v>
      </c>
      <c r="E19" s="46"/>
      <c r="F19" s="47" t="s">
        <v>14</v>
      </c>
      <c r="G19" s="47" t="s">
        <v>53</v>
      </c>
      <c r="H19" s="47" t="s">
        <v>226</v>
      </c>
      <c r="I19" s="44">
        <v>896</v>
      </c>
      <c r="J19" s="48" t="s">
        <v>227</v>
      </c>
      <c r="K19" s="45" t="s">
        <v>268</v>
      </c>
      <c r="L19" s="50" t="s">
        <v>246</v>
      </c>
    </row>
    <row r="20" spans="2:12" ht="20.25">
      <c r="B20" s="46" t="s">
        <v>223</v>
      </c>
      <c r="C20" s="47" t="s">
        <v>269</v>
      </c>
      <c r="D20" s="46" t="s">
        <v>270</v>
      </c>
      <c r="E20" s="46"/>
      <c r="F20" s="47" t="s">
        <v>14</v>
      </c>
      <c r="G20" s="47" t="s">
        <v>53</v>
      </c>
      <c r="H20" s="47" t="s">
        <v>226</v>
      </c>
      <c r="I20" s="44">
        <v>780.82</v>
      </c>
      <c r="J20" s="48" t="s">
        <v>227</v>
      </c>
      <c r="K20" s="45" t="s">
        <v>271</v>
      </c>
      <c r="L20" s="50" t="s">
        <v>254</v>
      </c>
    </row>
    <row r="21" spans="2:12" ht="20.25">
      <c r="B21" s="46" t="s">
        <v>223</v>
      </c>
      <c r="C21" s="47" t="s">
        <v>272</v>
      </c>
      <c r="D21" s="46" t="s">
        <v>273</v>
      </c>
      <c r="E21" s="46"/>
      <c r="F21" s="47" t="s">
        <v>14</v>
      </c>
      <c r="G21" s="47" t="s">
        <v>53</v>
      </c>
      <c r="H21" s="47" t="s">
        <v>226</v>
      </c>
      <c r="I21" s="44">
        <v>702.06</v>
      </c>
      <c r="J21" s="48" t="s">
        <v>227</v>
      </c>
      <c r="K21" s="45" t="s">
        <v>274</v>
      </c>
      <c r="L21" s="50" t="s">
        <v>275</v>
      </c>
    </row>
    <row r="22" spans="2:12" ht="20.25">
      <c r="B22" s="46" t="s">
        <v>223</v>
      </c>
      <c r="C22" s="47" t="s">
        <v>276</v>
      </c>
      <c r="D22" s="46" t="s">
        <v>277</v>
      </c>
      <c r="E22" s="46"/>
      <c r="F22" s="47" t="s">
        <v>14</v>
      </c>
      <c r="G22" s="47" t="s">
        <v>53</v>
      </c>
      <c r="H22" s="47" t="s">
        <v>226</v>
      </c>
      <c r="I22" s="44">
        <v>550</v>
      </c>
      <c r="J22" s="48" t="s">
        <v>227</v>
      </c>
      <c r="K22" s="45" t="s">
        <v>232</v>
      </c>
      <c r="L22" s="50" t="s">
        <v>246</v>
      </c>
    </row>
    <row r="23" spans="2:12" ht="20.25">
      <c r="B23" s="46" t="s">
        <v>223</v>
      </c>
      <c r="C23" s="47" t="s">
        <v>278</v>
      </c>
      <c r="D23" s="46" t="s">
        <v>279</v>
      </c>
      <c r="E23" s="46"/>
      <c r="F23" s="47" t="s">
        <v>14</v>
      </c>
      <c r="G23" s="47" t="s">
        <v>53</v>
      </c>
      <c r="H23" s="47" t="s">
        <v>226</v>
      </c>
      <c r="I23" s="44">
        <v>549.62</v>
      </c>
      <c r="J23" s="48" t="s">
        <v>227</v>
      </c>
      <c r="K23" s="45" t="s">
        <v>280</v>
      </c>
      <c r="L23" s="50" t="s">
        <v>275</v>
      </c>
    </row>
    <row r="24" spans="2:12" ht="20.25">
      <c r="B24" s="46" t="s">
        <v>223</v>
      </c>
      <c r="C24" s="47" t="s">
        <v>281</v>
      </c>
      <c r="D24" s="46" t="s">
        <v>282</v>
      </c>
      <c r="E24" s="46"/>
      <c r="F24" s="47" t="s">
        <v>14</v>
      </c>
      <c r="G24" s="47" t="s">
        <v>53</v>
      </c>
      <c r="H24" s="47" t="s">
        <v>226</v>
      </c>
      <c r="I24" s="44">
        <v>528.11</v>
      </c>
      <c r="J24" s="48" t="s">
        <v>227</v>
      </c>
      <c r="K24" s="45" t="s">
        <v>283</v>
      </c>
      <c r="L24" s="50" t="s">
        <v>236</v>
      </c>
    </row>
    <row r="25" spans="2:12" ht="15.6" customHeight="1">
      <c r="B25" s="46" t="s">
        <v>223</v>
      </c>
      <c r="C25" s="47" t="s">
        <v>284</v>
      </c>
      <c r="D25" s="46" t="s">
        <v>285</v>
      </c>
      <c r="E25" s="46"/>
      <c r="F25" s="47" t="s">
        <v>14</v>
      </c>
      <c r="G25" s="47" t="s">
        <v>53</v>
      </c>
      <c r="H25" s="47" t="s">
        <v>226</v>
      </c>
      <c r="I25" s="44">
        <v>410.95</v>
      </c>
      <c r="J25" s="48" t="s">
        <v>227</v>
      </c>
      <c r="K25" s="45" t="s">
        <v>286</v>
      </c>
      <c r="L25" s="50" t="s">
        <v>246</v>
      </c>
    </row>
    <row r="26" spans="2:12" ht="22.5">
      <c r="B26" s="46" t="s">
        <v>223</v>
      </c>
      <c r="C26" s="47" t="s">
        <v>287</v>
      </c>
      <c r="D26" s="46" t="s">
        <v>288</v>
      </c>
      <c r="E26" s="46"/>
      <c r="F26" s="47" t="s">
        <v>14</v>
      </c>
      <c r="G26" s="47" t="s">
        <v>53</v>
      </c>
      <c r="H26" s="47" t="s">
        <v>289</v>
      </c>
      <c r="I26" s="44">
        <v>924.66</v>
      </c>
      <c r="J26" s="48" t="s">
        <v>227</v>
      </c>
      <c r="K26" s="45" t="s">
        <v>290</v>
      </c>
      <c r="L26" s="50" t="s">
        <v>291</v>
      </c>
    </row>
    <row r="27" spans="2:12" ht="22.5">
      <c r="B27" s="46" t="s">
        <v>223</v>
      </c>
      <c r="C27" s="47" t="s">
        <v>292</v>
      </c>
      <c r="D27" s="46" t="s">
        <v>293</v>
      </c>
      <c r="E27" s="46"/>
      <c r="F27" s="47" t="s">
        <v>14</v>
      </c>
      <c r="G27" s="47" t="s">
        <v>53</v>
      </c>
      <c r="H27" s="47" t="s">
        <v>54</v>
      </c>
      <c r="I27" s="44">
        <v>1202.27</v>
      </c>
      <c r="J27" s="48" t="s">
        <v>227</v>
      </c>
      <c r="K27" s="45" t="s">
        <v>294</v>
      </c>
      <c r="L27" s="50" t="s">
        <v>295</v>
      </c>
    </row>
    <row r="28" spans="2:12" ht="44.25">
      <c r="B28" s="46" t="s">
        <v>223</v>
      </c>
      <c r="C28" s="47" t="s">
        <v>296</v>
      </c>
      <c r="D28" s="46" t="s">
        <v>297</v>
      </c>
      <c r="E28" s="46"/>
      <c r="F28" s="47" t="s">
        <v>14</v>
      </c>
      <c r="G28" s="47" t="s">
        <v>53</v>
      </c>
      <c r="H28" s="47" t="s">
        <v>54</v>
      </c>
      <c r="I28" s="44">
        <v>700</v>
      </c>
      <c r="J28" s="48" t="s">
        <v>227</v>
      </c>
      <c r="K28" s="45" t="s">
        <v>298</v>
      </c>
      <c r="L28" s="50" t="s">
        <v>299</v>
      </c>
    </row>
    <row r="29" spans="2:12">
      <c r="B29" s="46" t="s">
        <v>223</v>
      </c>
      <c r="C29" s="47" t="s">
        <v>300</v>
      </c>
      <c r="D29" s="46" t="s">
        <v>301</v>
      </c>
      <c r="E29" s="46"/>
      <c r="F29" s="47" t="s">
        <v>13</v>
      </c>
      <c r="G29" s="47" t="s">
        <v>53</v>
      </c>
      <c r="H29" s="47" t="s">
        <v>54</v>
      </c>
      <c r="I29" s="44">
        <v>1597.39</v>
      </c>
      <c r="J29" s="48" t="s">
        <v>227</v>
      </c>
      <c r="K29" s="51" t="s">
        <v>298</v>
      </c>
      <c r="L29" s="50" t="s">
        <v>302</v>
      </c>
    </row>
    <row r="30" spans="2:12" ht="33">
      <c r="B30" s="46" t="s">
        <v>223</v>
      </c>
      <c r="C30" s="47" t="s">
        <v>303</v>
      </c>
      <c r="D30" s="46" t="s">
        <v>304</v>
      </c>
      <c r="E30" s="46"/>
      <c r="F30" s="47" t="s">
        <v>14</v>
      </c>
      <c r="G30" s="47" t="s">
        <v>53</v>
      </c>
      <c r="H30" s="47" t="s">
        <v>54</v>
      </c>
      <c r="I30" s="44">
        <v>950</v>
      </c>
      <c r="J30" s="48" t="s">
        <v>227</v>
      </c>
      <c r="K30" s="45" t="s">
        <v>298</v>
      </c>
      <c r="L30" s="50" t="s">
        <v>305</v>
      </c>
    </row>
    <row r="31" spans="2:12" ht="22.5">
      <c r="B31" s="46" t="s">
        <v>223</v>
      </c>
      <c r="C31" s="47" t="s">
        <v>306</v>
      </c>
      <c r="D31" s="46" t="s">
        <v>307</v>
      </c>
      <c r="E31" s="46"/>
      <c r="F31" s="47" t="s">
        <v>14</v>
      </c>
      <c r="G31" s="47" t="s">
        <v>53</v>
      </c>
      <c r="H31" s="47" t="s">
        <v>54</v>
      </c>
      <c r="I31" s="44">
        <v>590</v>
      </c>
      <c r="J31" s="48" t="s">
        <v>227</v>
      </c>
      <c r="K31" s="45" t="s">
        <v>298</v>
      </c>
      <c r="L31" s="50" t="s">
        <v>308</v>
      </c>
    </row>
    <row r="32" spans="2:12">
      <c r="B32" s="46" t="s">
        <v>223</v>
      </c>
      <c r="C32" s="47" t="s">
        <v>309</v>
      </c>
      <c r="D32" s="46" t="s">
        <v>310</v>
      </c>
      <c r="E32" s="46"/>
      <c r="F32" s="47" t="s">
        <v>14</v>
      </c>
      <c r="G32" s="47" t="s">
        <v>53</v>
      </c>
      <c r="H32" s="47" t="s">
        <v>54</v>
      </c>
      <c r="I32" s="44">
        <v>422.4</v>
      </c>
      <c r="J32" s="48" t="s">
        <v>227</v>
      </c>
      <c r="K32" s="45" t="s">
        <v>298</v>
      </c>
      <c r="L32" s="50" t="s">
        <v>18</v>
      </c>
    </row>
  </sheetData>
  <autoFilter ref="B4:L32" xr:uid="{C357BD8C-EBD6-4AC0-A603-68D3B7949033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88C6-8DFD-4FB2-BEA0-9BC7FE37D829}">
  <dimension ref="B2:K14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4.45"/>
  <cols>
    <col min="1" max="1" width="1.7109375" customWidth="1"/>
    <col min="2" max="2" width="23" bestFit="1" customWidth="1"/>
    <col min="3" max="3" width="10.28515625" bestFit="1" customWidth="1"/>
    <col min="4" max="4" width="41.7109375" bestFit="1" customWidth="1"/>
    <col min="5" max="5" width="17.140625" style="73" bestFit="1" customWidth="1"/>
    <col min="6" max="6" width="10.28515625" bestFit="1" customWidth="1"/>
    <col min="7" max="7" width="14.85546875" bestFit="1" customWidth="1"/>
    <col min="8" max="8" width="9" bestFit="1" customWidth="1"/>
    <col min="9" max="9" width="19.7109375" customWidth="1"/>
    <col min="10" max="10" width="74.28515625" customWidth="1"/>
    <col min="11" max="11" width="40.7109375" customWidth="1"/>
  </cols>
  <sheetData>
    <row r="2" spans="2:11">
      <c r="B2" s="3">
        <f>COUNTA(D4:D13)</f>
        <v>10</v>
      </c>
      <c r="H2" s="71">
        <f>SUBTOTAL(9,H4:H13)</f>
        <v>13252.73</v>
      </c>
    </row>
    <row r="3" spans="2:11" ht="24">
      <c r="B3" s="42" t="s">
        <v>214</v>
      </c>
      <c r="C3" s="42" t="s">
        <v>215</v>
      </c>
      <c r="D3" s="42" t="s">
        <v>29</v>
      </c>
      <c r="E3" s="42" t="s">
        <v>9</v>
      </c>
      <c r="F3" s="42" t="s">
        <v>217</v>
      </c>
      <c r="G3" s="42" t="s">
        <v>218</v>
      </c>
      <c r="H3" s="42" t="s">
        <v>219</v>
      </c>
      <c r="I3" s="42" t="s">
        <v>220</v>
      </c>
      <c r="J3" s="42" t="s">
        <v>221</v>
      </c>
      <c r="K3" s="43" t="s">
        <v>311</v>
      </c>
    </row>
    <row r="4" spans="2:11" ht="20.45">
      <c r="B4" s="46" t="s">
        <v>223</v>
      </c>
      <c r="C4" s="47" t="s">
        <v>312</v>
      </c>
      <c r="D4" s="46" t="s">
        <v>313</v>
      </c>
      <c r="E4" s="47" t="s">
        <v>14</v>
      </c>
      <c r="F4" s="47" t="s">
        <v>53</v>
      </c>
      <c r="G4" s="47" t="s">
        <v>289</v>
      </c>
      <c r="H4" s="44">
        <v>5946.19</v>
      </c>
      <c r="I4" s="49" t="s">
        <v>314</v>
      </c>
      <c r="J4" s="51" t="s">
        <v>315</v>
      </c>
      <c r="K4" s="50" t="s">
        <v>316</v>
      </c>
    </row>
    <row r="5" spans="2:11" ht="20.45">
      <c r="B5" s="46" t="s">
        <v>223</v>
      </c>
      <c r="C5" s="47" t="s">
        <v>317</v>
      </c>
      <c r="D5" s="46" t="s">
        <v>318</v>
      </c>
      <c r="E5" s="47" t="s">
        <v>14</v>
      </c>
      <c r="F5" s="47" t="s">
        <v>53</v>
      </c>
      <c r="G5" s="47" t="s">
        <v>289</v>
      </c>
      <c r="H5" s="44">
        <v>936.91</v>
      </c>
      <c r="I5" s="49" t="s">
        <v>314</v>
      </c>
      <c r="J5" s="51" t="s">
        <v>315</v>
      </c>
      <c r="K5" s="50" t="s">
        <v>316</v>
      </c>
    </row>
    <row r="6" spans="2:11" ht="22.9">
      <c r="B6" s="46" t="s">
        <v>223</v>
      </c>
      <c r="C6" s="47" t="s">
        <v>319</v>
      </c>
      <c r="D6" s="46" t="s">
        <v>320</v>
      </c>
      <c r="E6" s="47" t="s">
        <v>14</v>
      </c>
      <c r="F6" s="47" t="s">
        <v>53</v>
      </c>
      <c r="G6" s="47" t="s">
        <v>289</v>
      </c>
      <c r="H6" s="44">
        <v>705.99</v>
      </c>
      <c r="I6" s="49" t="s">
        <v>314</v>
      </c>
      <c r="J6" s="51" t="s">
        <v>321</v>
      </c>
      <c r="K6" s="50" t="s">
        <v>322</v>
      </c>
    </row>
    <row r="7" spans="2:11" ht="20.45">
      <c r="B7" s="46" t="s">
        <v>223</v>
      </c>
      <c r="C7" s="47" t="s">
        <v>323</v>
      </c>
      <c r="D7" s="46" t="s">
        <v>324</v>
      </c>
      <c r="E7" s="47" t="s">
        <v>14</v>
      </c>
      <c r="F7" s="47" t="s">
        <v>53</v>
      </c>
      <c r="G7" s="47" t="s">
        <v>289</v>
      </c>
      <c r="H7" s="44">
        <v>493.08</v>
      </c>
      <c r="I7" s="49" t="s">
        <v>314</v>
      </c>
      <c r="J7" s="51" t="s">
        <v>315</v>
      </c>
      <c r="K7" s="50" t="s">
        <v>316</v>
      </c>
    </row>
    <row r="8" spans="2:11" ht="61.15">
      <c r="B8" s="46" t="s">
        <v>223</v>
      </c>
      <c r="C8" s="47" t="s">
        <v>325</v>
      </c>
      <c r="D8" s="46" t="s">
        <v>326</v>
      </c>
      <c r="E8" s="47" t="s">
        <v>14</v>
      </c>
      <c r="F8" s="47" t="s">
        <v>53</v>
      </c>
      <c r="G8" s="47" t="s">
        <v>289</v>
      </c>
      <c r="H8" s="44">
        <v>419.25</v>
      </c>
      <c r="I8" s="49" t="s">
        <v>314</v>
      </c>
      <c r="J8" s="51" t="s">
        <v>327</v>
      </c>
      <c r="K8" s="50" t="s">
        <v>328</v>
      </c>
    </row>
    <row r="9" spans="2:11" ht="20.45">
      <c r="B9" s="46" t="s">
        <v>223</v>
      </c>
      <c r="C9" s="47" t="s">
        <v>329</v>
      </c>
      <c r="D9" s="46" t="s">
        <v>330</v>
      </c>
      <c r="E9" s="47" t="s">
        <v>14</v>
      </c>
      <c r="F9" s="47" t="s">
        <v>53</v>
      </c>
      <c r="G9" s="47" t="s">
        <v>289</v>
      </c>
      <c r="H9" s="44">
        <v>408.28</v>
      </c>
      <c r="I9" s="49" t="s">
        <v>314</v>
      </c>
      <c r="J9" s="51" t="s">
        <v>315</v>
      </c>
      <c r="K9" s="50" t="s">
        <v>316</v>
      </c>
    </row>
    <row r="10" spans="2:11" ht="30.6">
      <c r="B10" s="46" t="s">
        <v>223</v>
      </c>
      <c r="C10" s="47" t="s">
        <v>331</v>
      </c>
      <c r="D10" s="46" t="s">
        <v>332</v>
      </c>
      <c r="E10" s="47" t="s">
        <v>14</v>
      </c>
      <c r="F10" s="47" t="s">
        <v>53</v>
      </c>
      <c r="G10" s="47" t="s">
        <v>289</v>
      </c>
      <c r="H10" s="44">
        <v>312.52</v>
      </c>
      <c r="I10" s="49" t="s">
        <v>314</v>
      </c>
      <c r="J10" s="51" t="s">
        <v>333</v>
      </c>
      <c r="K10" s="50" t="s">
        <v>334</v>
      </c>
    </row>
    <row r="11" spans="2:11" ht="20.45">
      <c r="B11" s="46" t="s">
        <v>223</v>
      </c>
      <c r="C11" s="47" t="s">
        <v>335</v>
      </c>
      <c r="D11" s="46" t="s">
        <v>336</v>
      </c>
      <c r="E11" s="47" t="s">
        <v>14</v>
      </c>
      <c r="F11" s="47" t="s">
        <v>53</v>
      </c>
      <c r="G11" s="47" t="s">
        <v>226</v>
      </c>
      <c r="H11" s="44">
        <v>500</v>
      </c>
      <c r="I11" s="49" t="s">
        <v>314</v>
      </c>
      <c r="J11" s="51" t="s">
        <v>337</v>
      </c>
      <c r="K11" s="50" t="s">
        <v>338</v>
      </c>
    </row>
    <row r="12" spans="2:11" ht="22.9">
      <c r="B12" s="46" t="s">
        <v>223</v>
      </c>
      <c r="C12" s="1" t="s">
        <v>339</v>
      </c>
      <c r="D12" s="40" t="s">
        <v>340</v>
      </c>
      <c r="E12" s="47" t="s">
        <v>13</v>
      </c>
      <c r="F12" s="1" t="s">
        <v>53</v>
      </c>
      <c r="G12" s="41" t="s">
        <v>54</v>
      </c>
      <c r="H12" s="2">
        <v>1859.64</v>
      </c>
      <c r="I12" s="49" t="s">
        <v>314</v>
      </c>
      <c r="J12" s="52" t="s">
        <v>341</v>
      </c>
      <c r="K12" s="52" t="s">
        <v>342</v>
      </c>
    </row>
    <row r="13" spans="2:11" ht="34.15">
      <c r="B13" s="46" t="s">
        <v>223</v>
      </c>
      <c r="C13" s="1" t="s">
        <v>343</v>
      </c>
      <c r="D13" s="40" t="s">
        <v>344</v>
      </c>
      <c r="E13" s="47" t="s">
        <v>14</v>
      </c>
      <c r="F13" s="1" t="s">
        <v>53</v>
      </c>
      <c r="G13" s="41" t="s">
        <v>54</v>
      </c>
      <c r="H13" s="2">
        <v>1670.87</v>
      </c>
      <c r="I13" s="49" t="s">
        <v>314</v>
      </c>
      <c r="J13" s="52" t="s">
        <v>298</v>
      </c>
      <c r="K13" s="52" t="s">
        <v>345</v>
      </c>
    </row>
    <row r="14" spans="2:11">
      <c r="H14" s="5"/>
    </row>
  </sheetData>
  <autoFilter ref="B3:K13" xr:uid="{2EEE88C6-8DFD-4FB2-BEA0-9BC7FE37D82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Maicon Silva</dc:creator>
  <cp:keywords/>
  <dc:description/>
  <cp:lastModifiedBy>Amanda Santos</cp:lastModifiedBy>
  <cp:revision/>
  <dcterms:created xsi:type="dcterms:W3CDTF">2026-09-01T19:53:28Z</dcterms:created>
  <dcterms:modified xsi:type="dcterms:W3CDTF">2026-09-25T16:50:33Z</dcterms:modified>
  <cp:category/>
  <cp:contentStatus/>
</cp:coreProperties>
</file>