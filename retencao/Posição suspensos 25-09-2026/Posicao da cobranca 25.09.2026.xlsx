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Operacoes_produtor_rural\retencao\Posição suspensos 25-09-2026\"/>
    </mc:Choice>
  </mc:AlternateContent>
  <xr:revisionPtr revIDLastSave="0" documentId="8_{41173655-D03F-40B0-81D7-65968734492F}" xr6:coauthVersionLast="47" xr6:coauthVersionMax="47" xr10:uidLastSave="{00000000-0000-0000-0000-000000000000}"/>
  <bookViews>
    <workbookView xWindow="-27150" yWindow="-870" windowWidth="15375" windowHeight="7785" xr2:uid="{16C6F16A-3CAF-47FF-986D-46CF23648793}"/>
  </bookViews>
  <sheets>
    <sheet name="Resumo" sheetId="1" r:id="rId1"/>
    <sheet name="Recuperado" sheetId="2" r:id="rId2"/>
    <sheet name="A receber" sheetId="3" r:id="rId3"/>
    <sheet name="Não recuperado" sheetId="4" r:id="rId4"/>
    <sheet name="Em aberto" sheetId="5" r:id="rId5"/>
    <sheet name="Escritório" sheetId="6" r:id="rId6"/>
    <sheet name="Churn" sheetId="7" r:id="rId7"/>
    <sheet name="Negociação comercial" sheetId="8" r:id="rId8"/>
    <sheet name="Plano Safra" sheetId="9" r:id="rId9"/>
  </sheets>
  <definedNames>
    <definedName name="_xlnm._FilterDatabase" localSheetId="2" hidden="1">'A receber'!$A$4:$G$10</definedName>
    <definedName name="_xlnm._FilterDatabase" localSheetId="6" hidden="1">Churn!$A$4:$M$38</definedName>
    <definedName name="_xlnm._FilterDatabase" localSheetId="4" hidden="1">'Em aberto'!$A$4:$L$9</definedName>
    <definedName name="_xlnm._FilterDatabase" localSheetId="5" hidden="1">Escritório!$A$4:$J$11</definedName>
    <definedName name="_xlnm._FilterDatabase" localSheetId="3" hidden="1">'Não recuperado'!$A$4:$F$8</definedName>
    <definedName name="_xlnm._FilterDatabase" localSheetId="7" hidden="1">'Negociação comercial'!$A$4:$G$11</definedName>
    <definedName name="_xlnm._FilterDatabase" localSheetId="8" hidden="1">'Plano Safra'!$A$11:$G$16</definedName>
    <definedName name="_xlnm._FilterDatabase" localSheetId="1" hidden="1">Recuperado!$A$4:$Q$22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C25" i="1"/>
  <c r="C24" i="1"/>
  <c r="D23" i="1"/>
  <c r="C23" i="1"/>
  <c r="D22" i="1"/>
  <c r="C22" i="1"/>
  <c r="D21" i="1"/>
  <c r="C21" i="1"/>
  <c r="C18" i="1"/>
  <c r="C17" i="1"/>
  <c r="C16" i="1"/>
  <c r="D15" i="1"/>
  <c r="C15" i="1"/>
  <c r="C14" i="1"/>
  <c r="C11" i="1"/>
  <c r="C10" i="1"/>
  <c r="C9" i="1"/>
  <c r="C8" i="1"/>
  <c r="C7" i="1"/>
  <c r="C6" i="1"/>
  <c r="E12" i="8"/>
  <c r="K39" i="7"/>
  <c r="J39" i="7"/>
  <c r="G39" i="7"/>
  <c r="C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H12" i="6"/>
  <c r="G12" i="6"/>
  <c r="F12" i="6"/>
  <c r="E12" i="6"/>
  <c r="G11" i="6"/>
  <c r="G10" i="6"/>
  <c r="G9" i="6"/>
  <c r="G8" i="6"/>
  <c r="G7" i="6"/>
  <c r="G6" i="6"/>
  <c r="G5" i="6"/>
  <c r="H10" i="5"/>
  <c r="G10" i="5"/>
  <c r="F10" i="5"/>
  <c r="E10" i="5"/>
  <c r="D10" i="5"/>
  <c r="G9" i="5"/>
  <c r="G8" i="5"/>
  <c r="G7" i="5"/>
  <c r="G6" i="5"/>
  <c r="G5" i="5"/>
  <c r="E9" i="4"/>
  <c r="E11" i="3"/>
  <c r="P23" i="2"/>
  <c r="O23" i="2"/>
  <c r="N23" i="2"/>
  <c r="M23" i="2"/>
  <c r="L23" i="2"/>
  <c r="H23" i="2"/>
  <c r="P22" i="2"/>
  <c r="H22" i="2"/>
  <c r="P21" i="2"/>
  <c r="H21" i="2"/>
  <c r="P20" i="2"/>
  <c r="H20" i="2"/>
  <c r="P19" i="2"/>
  <c r="H19" i="2"/>
  <c r="P18" i="2"/>
  <c r="H18" i="2"/>
  <c r="P17" i="2"/>
  <c r="H17" i="2"/>
  <c r="P16" i="2"/>
  <c r="H16" i="2"/>
  <c r="P15" i="2"/>
  <c r="H15" i="2"/>
  <c r="P14" i="2"/>
  <c r="H14" i="2"/>
  <c r="P13" i="2"/>
  <c r="H13" i="2"/>
  <c r="P12" i="2"/>
  <c r="H12" i="2"/>
  <c r="P11" i="2"/>
  <c r="H11" i="2"/>
  <c r="P10" i="2"/>
  <c r="H10" i="2"/>
  <c r="P9" i="2"/>
  <c r="H9" i="2"/>
  <c r="P8" i="2"/>
  <c r="H8" i="2"/>
  <c r="P7" i="2"/>
  <c r="H7" i="2"/>
  <c r="P6" i="2"/>
  <c r="H6" i="2"/>
  <c r="P5" i="2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 Cesar Andrade Dos Santos</author>
  </authors>
  <commentList>
    <comment ref="E4" authorId="0" shapeId="0" xr:uid="{913A3A5A-0C89-468D-983C-84A93D7C7ECB}">
      <text>
        <r>
          <rPr>
            <b/>
            <sz val="9"/>
            <color indexed="81"/>
            <rFont val="Segoe UI"/>
            <family val="2"/>
          </rPr>
          <t>Carteira de cobrança: contrato que já estava nas planilhas de cobrança. Extra: recuperado pela central sem estar nessas planilhas.</t>
        </r>
      </text>
    </comment>
    <comment ref="G4" authorId="0" shapeId="0" xr:uid="{5786FC92-BF3A-4E58-AC8D-5832A4B88895}">
      <text>
        <r>
          <rPr>
            <b/>
            <sz val="9"/>
            <color indexed="81"/>
            <rFont val="Segoe UI"/>
            <family val="2"/>
          </rPr>
          <t>Valor informado pela central de cobrança. Nos contratos anuais é o valor do ano.</t>
        </r>
      </text>
    </comment>
    <comment ref="H4" authorId="0" shapeId="0" xr:uid="{383BA034-24AC-47F3-A099-15FA76B894B3}">
      <text>
        <r>
          <rPr>
            <b/>
            <sz val="9"/>
            <color indexed="81"/>
            <rFont val="Segoe UI"/>
            <family val="2"/>
          </rPr>
          <t>Mensalidade que voltou a ser faturada. Contrato anual entra dividido por 12.</t>
        </r>
      </text>
    </comment>
    <comment ref="J4" authorId="0" shapeId="0" xr:uid="{5CB5839D-12B3-48C4-85DF-7C945095FEBC}">
      <text>
        <r>
          <rPr>
            <b/>
            <sz val="9"/>
            <color indexed="81"/>
            <rFont val="Segoe UI"/>
            <family val="2"/>
          </rPr>
          <t>Dias entre a entrada do cliente na central de cobrança e a reativação.</t>
        </r>
      </text>
    </comment>
    <comment ref="L4" authorId="0" shapeId="0" xr:uid="{221386E5-07CE-4DFE-A233-744D0393C1C0}">
      <text>
        <r>
          <rPr>
            <b/>
            <sz val="9"/>
            <color indexed="81"/>
            <rFont val="Segoe UI"/>
            <family val="2"/>
          </rPr>
          <t>Débito faturado mais valor represado (meses não faturados durante a suspensão).</t>
        </r>
      </text>
    </comment>
    <comment ref="N4" authorId="0" shapeId="0" xr:uid="{99B0849C-4B55-44E7-9F85-5E987E5A91C1}">
      <text>
        <r>
          <rPr>
            <b/>
            <sz val="9"/>
            <color indexed="81"/>
            <rFont val="Segoe UI"/>
            <family val="2"/>
          </rPr>
          <t>Parcelas a vencer. O calendário está na aba A receber.</t>
        </r>
      </text>
    </comment>
    <comment ref="O4" authorId="0" shapeId="0" xr:uid="{9C69B3A0-0DB5-4BEE-A681-E346DC81AAAD}">
      <text>
        <r>
          <rPr>
            <b/>
            <sz val="9"/>
            <color indexed="81"/>
            <rFont val="Segoe UI"/>
            <family val="2"/>
          </rPr>
          <t>Represado baixado ou recusado no cancelamento, desconto concedido e arredondamento. Detalhe na aba Não recuperado.</t>
        </r>
      </text>
    </comment>
    <comment ref="P4" authorId="0" shapeId="0" xr:uid="{5A151D3C-B412-4F98-B6BE-B583B5B79208}">
      <text>
        <r>
          <rPr>
            <b/>
            <sz val="9"/>
            <color indexed="81"/>
            <rFont val="Segoe UI"/>
            <family val="2"/>
          </rPr>
          <t>Em caixa mais a receber em acordo.</t>
        </r>
      </text>
    </comment>
    <comment ref="P5" authorId="0" shapeId="0" xr:uid="{0FBB1B76-F4FC-4608-BE6B-887BD77159C9}">
      <text>
        <r>
          <rPr>
            <b/>
            <sz val="9"/>
            <color indexed="81"/>
            <rFont val="Segoe UI"/>
            <family val="2"/>
          </rPr>
          <t>Diferença de arredondamento entre o acordo (R$ 20.862,60) e o débito registrado (R$ 20.862,90).</t>
        </r>
      </text>
    </comment>
    <comment ref="M6" authorId="0" shapeId="0" xr:uid="{9C27B868-5573-49A2-8EFE-DFBBAA8FDE5E}">
      <text>
        <r>
          <rPr>
            <b/>
            <sz val="9"/>
            <color indexed="81"/>
            <rFont val="Segoe UI"/>
            <family val="2"/>
          </rPr>
          <t>Inclui o saldo do acordo anterior (R$ 24.876,59), consolidado no novo acordo com as parcelas represadas de agosto e setembro (R$ 9.753,20).</t>
        </r>
      </text>
    </comment>
    <comment ref="O7" authorId="0" shapeId="0" xr:uid="{5B439BA9-7C5C-4760-B273-F1F4AC650A6E}">
      <text>
        <r>
          <rPr>
            <b/>
            <sz val="9"/>
            <color indexed="81"/>
            <rFont val="Segoe UI"/>
            <family val="2"/>
          </rPr>
          <t>Represado de R$ 13.521,08 no Plano Safra, com vencimento em 30/03/2027.</t>
        </r>
      </text>
    </comment>
    <comment ref="H15" authorId="0" shapeId="0" xr:uid="{8C652877-3583-4626-B863-6495FB529949}">
      <text>
        <r>
          <rPr>
            <b/>
            <sz val="9"/>
            <color indexed="81"/>
            <rFont val="Segoe UI"/>
            <family val="2"/>
          </rPr>
          <t>Contrato anual: valor do ano de R$ 8000,00. No MRR entra dividido por 12.</t>
        </r>
      </text>
    </comment>
    <comment ref="H19" authorId="0" shapeId="0" xr:uid="{813A34CA-1643-4EB3-8D06-821705397D49}">
      <text>
        <r>
          <rPr>
            <b/>
            <sz val="9"/>
            <color indexed="81"/>
            <rFont val="Segoe UI"/>
            <family val="2"/>
          </rPr>
          <t>Contrato anual: valor do ano de R$ 1765,17. No MRR entra dividido por 12.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 Cesar Andrade Dos Santos</author>
  </authors>
  <commentList>
    <comment ref="F4" authorId="0" shapeId="0" xr:uid="{23184F51-45CE-4E6F-8B42-A5B8FBCADB52}">
      <text>
        <r>
          <rPr>
            <b/>
            <sz val="9"/>
            <color indexed="81"/>
            <rFont val="Segoe UI"/>
            <family val="2"/>
          </rPr>
          <t>Meses não faturados durante a suspensão.</t>
        </r>
      </text>
    </comment>
    <comment ref="J4" authorId="0" shapeId="0" xr:uid="{5ABDA88D-3E0C-447F-96B0-20CA6B283896}">
      <text>
        <r>
          <rPr>
            <b/>
            <sz val="9"/>
            <color indexed="81"/>
            <rFont val="Segoe UI"/>
            <family val="2"/>
          </rPr>
          <t>Pagamento do negociado em 30/03/2027, com confissão de dívida. Detalhe na aba Plano Safra.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 Cesar Andrade Dos Santos</author>
  </authors>
  <commentList>
    <comment ref="H4" authorId="0" shapeId="0" xr:uid="{5F46131C-059A-4A58-83C3-8157D605B76B}">
      <text>
        <r>
          <rPr>
            <b/>
            <sz val="9"/>
            <color indexed="81"/>
            <rFont val="Segoe UI"/>
            <family val="2"/>
          </rPr>
          <t>Data registrada do pedido. Sem data: não registrada nas planilhas. Mês e ano: a fonte só traz o mês.</t>
        </r>
      </text>
    </comment>
    <comment ref="I4" authorId="0" shapeId="0" xr:uid="{22D56BA6-E67F-420C-831E-69CE49FE19B9}">
      <text>
        <r>
          <rPr>
            <b/>
            <sz val="9"/>
            <color indexed="81"/>
            <rFont val="Segoe UI"/>
            <family val="2"/>
          </rPr>
          <t>Calculado a partir da data da posição, na aba Resumo.</t>
        </r>
      </text>
    </comment>
    <comment ref="J4" authorId="0" shapeId="0" xr:uid="{9E168D74-F1C2-498A-AAC3-802F1A14370F}">
      <text>
        <r>
          <rPr>
            <b/>
            <sz val="9"/>
            <color indexed="81"/>
            <rFont val="Segoe UI"/>
            <family val="2"/>
          </rPr>
          <t>Débito registrado nas planilhas. Para Augusto Cesar Andrade Maia, valor com juros da planilha do CS.</t>
        </r>
      </text>
    </comment>
  </commentList>
</comments>
</file>

<file path=xl/sharedStrings.xml><?xml version="1.0" encoding="utf-8"?>
<sst xmlns="http://schemas.openxmlformats.org/spreadsheetml/2006/main" count="715" uniqueCount="454">
  <si>
    <t>Contratos recuperados em setembro de 2026</t>
  </si>
  <si>
    <t>Dívida negociada e receita mensal que voltou a ser faturada. Linhas em roxo: recuperados pela central fora das planilhas de cobrança (extra).</t>
  </si>
  <si>
    <t>Cliente</t>
  </si>
  <si>
    <t>Contrato</t>
  </si>
  <si>
    <t>Produto</t>
  </si>
  <si>
    <t>Situação</t>
  </si>
  <si>
    <t>Origem</t>
  </si>
  <si>
    <t>Periodicidade</t>
  </si>
  <si>
    <t>Valor no cadastro (R$)</t>
  </si>
  <si>
    <t>MRR recuperado (R$ por mês)</t>
  </si>
  <si>
    <t>Data da reativação</t>
  </si>
  <si>
    <t>Dias na central</t>
  </si>
  <si>
    <t>Situação hoje</t>
  </si>
  <si>
    <t>Dívida cobrada (R$)</t>
  </si>
  <si>
    <t>Em caixa (R$)</t>
  </si>
  <si>
    <t>A receber em acordo (R$)</t>
  </si>
  <si>
    <t>Não recuperado (R$)</t>
  </si>
  <si>
    <t>Dívida recuperada (R$)</t>
  </si>
  <si>
    <t>Como foi negociado</t>
  </si>
  <si>
    <t>Luiz Moreira Rocha</t>
  </si>
  <si>
    <t>30006200</t>
  </si>
  <si>
    <t>myFarm</t>
  </si>
  <si>
    <t>Acordo em parcelas</t>
  </si>
  <si>
    <t>Carteira de cobrança</t>
  </si>
  <si>
    <t>Mensal</t>
  </si>
  <si>
    <t>De volta à central: parcelas do acordo em aberto</t>
  </si>
  <si>
    <t>O cliente recebeu proposta de quitação à vista com 15% de desconto e optou pelo parcelamento em três vezes, sem desconto: entrada de R$ 6.258,78, paga e confirmada, e duas parcelas de R$ 7.301,91 em 14/10 e 14/11.</t>
  </si>
  <si>
    <t>Vitor Marcio Dumoncel e outros</t>
  </si>
  <si>
    <t>30005234</t>
  </si>
  <si>
    <t>AgriManager</t>
  </si>
  <si>
    <t>Ativo</t>
  </si>
  <si>
    <t>O cliente já tinha um acordo em andamento. As duas parcelas represadas, que ficavam fora dele, foram somadas ao saldo desse acordo e consolidadas em um novo acordo, sem desconto: entrada de R$ 10.000,00, paga e confirmada em 23/09, e três parcelas de R$ 8.209,93 com vencimento em 25/10, 25/11 e 25/12.</t>
  </si>
  <si>
    <t>Marcos Aurelio Sinopoli</t>
  </si>
  <si>
    <t>30002424</t>
  </si>
  <si>
    <t>Acordo no Plano Safra</t>
  </si>
  <si>
    <t>O débito faturado já estava em acordo e segue sendo cumprido. As quatro parcelas represadas, de junho a setembro, ficavam fora desse acordo. Em 18/09 foi fechado o acordo delas no Plano Safra: o cliente segue pagando as mensalidades e o acordo anterior, e o represado de R$ 13.521,08 vence em 30/03/2027.</t>
  </si>
  <si>
    <t>Agropecuária Mano Velho Ltda</t>
  </si>
  <si>
    <t>30004920</t>
  </si>
  <si>
    <t>Reativado</t>
  </si>
  <si>
    <t>Extra</t>
  </si>
  <si>
    <t>Entrou na central em 27/08 por estar suspenso. O contato por WhatsApp foi feito no mesmo dia, e o contrato voltou a ativo em 04/09.</t>
  </si>
  <si>
    <t>Anderson Peixoto Cordeiro</t>
  </si>
  <si>
    <t>30003505</t>
  </si>
  <si>
    <t>De volta à central: vencimento em 16/10/2026</t>
  </si>
  <si>
    <t>Cliente adimplente: segundo o financeiro, o próximo vencimento é só em 16/10/2026. Reativado pela central em 22/09.</t>
  </si>
  <si>
    <t>Agropecuária Alvorada Ltda</t>
  </si>
  <si>
    <t>30007726</t>
  </si>
  <si>
    <t>Cliente migrou do AgriManager para o myFarm e estava em período de teste desde julho. O pagamento foi tratado direto com o financeiro, e o contrato myFarm voltou a ativo em 04/09. O contrato AgriManager anterior, 30004481, segue em distrato.</t>
  </si>
  <si>
    <t>Moacyr Brunetta</t>
  </si>
  <si>
    <t>30001803</t>
  </si>
  <si>
    <t>Quitado</t>
  </si>
  <si>
    <t>De volta à central desde 25/09/2026</t>
  </si>
  <si>
    <t>Pagamento integral do débito via pix em 24/09, sem desconto.</t>
  </si>
  <si>
    <t>Pablo Rafael Scnheider</t>
  </si>
  <si>
    <t>30006069</t>
  </si>
  <si>
    <t>O cliente havia combinado cobrança semestral, mas a assinatura foi faturada mensalmente, o que gerou o atraso. Pagou o débito integral, e o ajuste da cobrança para semestral está em andamento.</t>
  </si>
  <si>
    <t>Sandro Sia e Outros</t>
  </si>
  <si>
    <t>30007323</t>
  </si>
  <si>
    <t>Cliente em implantação que não estava recebendo os boletos; o time de projetos já acompanhava o caso. Entrou na central em 11/08 e voltou a ativo em 04/09.</t>
  </si>
  <si>
    <t>Knap Soluções Contábeis Ltda</t>
  </si>
  <si>
    <t>30007333</t>
  </si>
  <si>
    <t>Contrato em análise contratual. A coordenação de operações fez a cobrança por WhatsApp em 28/08, e o cliente foi reativado pela central em 15/09.</t>
  </si>
  <si>
    <t>Neimar Walker</t>
  </si>
  <si>
    <t>30002492</t>
  </si>
  <si>
    <t>Anual</t>
  </si>
  <si>
    <t>Contrato anual de R$ 8.000,00, suspenso no momento da renovação. Entrou na central em 11/08, recebeu contato do comercial para renovar e voltou a ativo em 04/09.</t>
  </si>
  <si>
    <t>Juarez Carlos Silva Filho</t>
  </si>
  <si>
    <t>30006056</t>
  </si>
  <si>
    <t>Pagamento integral do débito via pix em 14/09, sem desconto.</t>
  </si>
  <si>
    <t>Ana Paula Bandeira de Lima</t>
  </si>
  <si>
    <t>30007162</t>
  </si>
  <si>
    <t>Pagamento integral do débito via pix, sem desconto.</t>
  </si>
  <si>
    <t>João Everton Paulino Ramos Alves</t>
  </si>
  <si>
    <t>30004027</t>
  </si>
  <si>
    <t>Quitado com desconto</t>
  </si>
  <si>
    <t>O cliente aceitou a proposta de 15% de desconto para pagamento à vista e quitou R$ 1.174,11.</t>
  </si>
  <si>
    <t>Bruno Marques Guidi</t>
  </si>
  <si>
    <t>30004903</t>
  </si>
  <si>
    <t>Contrato anual de R$ 1.765,17. Entrou na central em 28/08 e voltou a ativo em 04/09, sem necessidade de contato.</t>
  </si>
  <si>
    <t>Tellus Agropecuaria Ltda</t>
  </si>
  <si>
    <t>30003178</t>
  </si>
  <si>
    <t>Pagou o faturado e cancelou</t>
  </si>
  <si>
    <t>Contrato cancelado</t>
  </si>
  <si>
    <t>O cliente pagou o débito faturado de R$ 2.067,47 e não aceitou negociar as dez parcelas represadas. Solicitou o cancelamento do contrato, e as notas referentes ao período represado estão em processo de cancelamento.</t>
  </si>
  <si>
    <t>Theodoro Ricardo de Andrade</t>
  </si>
  <si>
    <t>30005717</t>
  </si>
  <si>
    <t>O cliente pagou integralmente o débito faturado em 16/09. Mesmo com condições especiais para o valor represado, alinhadas com o financeiro, não aceitou negociar a cobrança referente ao período em que esteve com o acesso bloqueado. Formalizou o cancelamento e informou que pretende tratar o valor restante judicialmente.</t>
  </si>
  <si>
    <t>Paulo Massayoshi Mizote</t>
  </si>
  <si>
    <t>30000710</t>
  </si>
  <si>
    <t>Não consta na central</t>
  </si>
  <si>
    <t>Pagamento total do débito, correspondente a duas mensalidades, sem desconto.</t>
  </si>
  <si>
    <t>Total</t>
  </si>
  <si>
    <t>Calendário do valor a receber em acordo</t>
  </si>
  <si>
    <t>Parcelas dos acordos fechados, por data de vencimento.</t>
  </si>
  <si>
    <t>Vencimento</t>
  </si>
  <si>
    <t>Parcela</t>
  </si>
  <si>
    <t>Valor (R$)</t>
  </si>
  <si>
    <t>Modalidade</t>
  </si>
  <si>
    <t>Observação</t>
  </si>
  <si>
    <t>Parcela 1 de 2</t>
  </si>
  <si>
    <t>Parcelamento</t>
  </si>
  <si>
    <t>Entrada de R$ 6.258,78 paga.</t>
  </si>
  <si>
    <t>Parcela 1 de 3</t>
  </si>
  <si>
    <t>Entrada de R$ 10.000,00 paga em 23/09/2026.</t>
  </si>
  <si>
    <t>Parcela 2 de 2</t>
  </si>
  <si>
    <t>Parcela 2 de 3</t>
  </si>
  <si>
    <t>Parcela 3 de 3</t>
  </si>
  <si>
    <t>Represado no Plano Safra</t>
  </si>
  <si>
    <t>Plano Safra</t>
  </si>
  <si>
    <t>O cliente segue pagando as mensalidades e o acordo anterior.</t>
  </si>
  <si>
    <t>Total a receber</t>
  </si>
  <si>
    <t>Valores que não voltam nos contratos negociados</t>
  </si>
  <si>
    <t>Parte da dívida cobrada que ficou de fora do pagamento ou do acordo.</t>
  </si>
  <si>
    <t>Motivo</t>
  </si>
  <si>
    <t>Represado baixado com o cancelamento</t>
  </si>
  <si>
    <t>Pagou o faturado de R$ 2.067,47 e pediu cancelamento. As notas das dez parcelas represadas estão em cancelamento.</t>
  </si>
  <si>
    <t>Represado recusado pelo cliente</t>
  </si>
  <si>
    <t>Pagou o faturado de R$ 1.700,00 em 16/09/2026, recusou as cinco parcelas represadas e formalizou o cancelamento. Informou que vai discutir o valor na Justiça.</t>
  </si>
  <si>
    <t>Desconto de 15% à vista</t>
  </si>
  <si>
    <t>Quitou R$ 1.174,11 à vista sobre o débito de R$ 1.381,31.</t>
  </si>
  <si>
    <t>Arredondamento do acordo</t>
  </si>
  <si>
    <t>Acordo de R$ 20.862,60 sobre o débito de R$ 20.862,90.</t>
  </si>
  <si>
    <t>Total não recuperado</t>
  </si>
  <si>
    <t>Inadimplência em aberto na carteira interna</t>
  </si>
  <si>
    <t>Contratos sem acordo em 25/09/2026. Quase toda a dívida é represada.</t>
  </si>
  <si>
    <t>Mensalidade (R$)</t>
  </si>
  <si>
    <t>Débito faturado (R$)</t>
  </si>
  <si>
    <t>Valor represado (R$)</t>
  </si>
  <si>
    <t>Dívida total (R$)</t>
  </si>
  <si>
    <t>Dívida com juros, planilha do CS (R$)</t>
  </si>
  <si>
    <t>Próximo passo</t>
  </si>
  <si>
    <t>Petras de Lima Telles</t>
  </si>
  <si>
    <t>30002744</t>
  </si>
  <si>
    <t>Sem retorno do cliente</t>
  </si>
  <si>
    <t>Candidato</t>
  </si>
  <si>
    <t>Parcelas faturadas já regularizadas com o escritório de cobrança. Restam 13 parcelas represadas desde 09/2025, R$ 58.075,29, com 366 dias de atraso, e o cliente parou de responder. Risco alto: R$ 61,88 milhões em anotações negativas e 8 ações judiciais; não negativado.</t>
  </si>
  <si>
    <t>Área de negócio retomar contato para negociar o represado, conforme pedido de 31/08/2026. Financeiro recomenda não propor flexibilização 2027.</t>
  </si>
  <si>
    <t>Alzir Pimentel Aguiar Neto</t>
  </si>
  <si>
    <t>30003232</t>
  </si>
  <si>
    <t>Reunião marcada em 25/09</t>
  </si>
  <si>
    <t>Cumpre acordo antigo de 10 parcelas, mas 5 mensalidades represadas de 05/2026 a 09/2026, R$ 43.792,20, ficaram fora do acordo. Atraso de 219 dias, suspenso desde 30/03/2026. Risco alto: R$ 54,06 milhões em anotações negativas e histórico de renegociações não cumpridas.</t>
  </si>
  <si>
    <t>Registrar o resultado da reunião de 25/09 às 15h e fechar proposta para o represado sem flexibilização para 2027, conforme recomendação do financeiro.</t>
  </si>
  <si>
    <t>Pedro Henrique Pinto Fadel</t>
  </si>
  <si>
    <t>30003903</t>
  </si>
  <si>
    <t>Proposta em análise</t>
  </si>
  <si>
    <t>Proposta enviada, em análise</t>
  </si>
  <si>
    <t>Dívida de R$ 35.736,48 em 8 parcelas represadas desde 02/2026, 194 dias de atraso, sem negativação; o cliente alega dificuldade financeira e contesta o valor, pois já havia pedido redução da mensalidade, e reduziu licenças em julho. Proposta em análise pelo cliente: 5 parcelas de R$ 3.573,64 até fevereiro e saldo de R$ 17.868,28 em 30/03/2027. Risco alto: R$ 89,29 milhões em anotações negativas e 8 execuções judiciais.</t>
  </si>
  <si>
    <t>Obter a resposta do cliente à proposta e alinhar com o financeiro, que recomenda não flexibilizar para 2027, antes de fechar o acordo.</t>
  </si>
  <si>
    <t>Joao Batista Consentini Filho</t>
  </si>
  <si>
    <t>30001698</t>
  </si>
  <si>
    <t>Represado fora do acordo</t>
  </si>
  <si>
    <t>Acordo de renegociação em cumprimento, com reativação prevista só após quitação total. As parcelas de 08/2026 e 09/2026, R$ 10.688,86, estão represadas fora do acordo. Cliente recorrente em renegociações não cumpridas, risco alto: 17 ações judiciais e R$ 389,33 milhões em anotações negativas.</t>
  </si>
  <si>
    <t>Cobrança negociar a inclusão dos R$ 10.688,86 represados, retorno pedido pela área de negócio em 09/07/2026. Financeiro recomenda não propor flexibilização 2027.</t>
  </si>
  <si>
    <t>Nova Fronteira Agropecuária Ltda</t>
  </si>
  <si>
    <t>30003342</t>
  </si>
  <si>
    <t>Indicado pelo financeiro, entrada de 20%</t>
  </si>
  <si>
    <t>Dívida de R$ 4.955,97 em mensalidades faturadas, 44 dias de atraso, suspenso desde 25/08/2026. Cobrança reiterada por email e mensagem, sem retorno. Em 02/07/2026 a cobrança pediu aval para negativação; inadimplência recorrente.</t>
  </si>
  <si>
    <t>Decidir a negativação pedida em 02/07/2026 e oferecer flexibilização para 2027 com entrada de 20%, R$ 991,19, conforme recomendação do financeiro.</t>
  </si>
  <si>
    <t>Dívidas no escritório de cobrança terceirizado</t>
  </si>
  <si>
    <t>Todos myFarm; nenhum pediu cancelamento. Confirmado: as duas planilhas registram o escritório. A confirmar: a planilha do CS indica o escritório e a do financeiro ainda registra a carteira interna.</t>
  </si>
  <si>
    <t>Situação no escritório</t>
  </si>
  <si>
    <t>Fyllipe Carvalho Freitas Barros</t>
  </si>
  <si>
    <t>30006051</t>
  </si>
  <si>
    <t>Confirmado nas duas planilhas</t>
  </si>
  <si>
    <t>Dívida de R$ 15.927,50 entregue ao escritório de cobrança terceirizado: R$ 9.610,00 faturados e R$ 6.317,50 represados em 7 parcelas. Nenhuma parcela paga, 278 dias de atraso, plataforma suspensa em 28/01/2026 e negativação liberada em 17/02/2026. Cliente sem retorno nas tentativas de contato.</t>
  </si>
  <si>
    <t>Cobrança validar com o escritório a situação do caso e se existe acordo em andamento, conforme anotação do financeiro.</t>
  </si>
  <si>
    <t>Silvano Roger da Silva</t>
  </si>
  <si>
    <t>30005936</t>
  </si>
  <si>
    <t>Dívida de R$ 15.000,00 (R$ 9.000,00 faturado e R$ 6.000,00 represado em 8 parcelas), com 333 dias de atraso. Cliente sem retorno após 3 contatos; bloqueio da plataforma solicitado em 26/12/2025. Dívida entregue ao escritório de cobrança.</t>
  </si>
  <si>
    <t>Financeiro validar com o escritório o andamento da cobrança e trazer posição atualizada.</t>
  </si>
  <si>
    <t>José Rosa dos Santos</t>
  </si>
  <si>
    <t>30005102</t>
  </si>
  <si>
    <t>Dívida de R$ 7.345,86 com 357 dias de atraso, entregue ao escritório de cobrança terceirizado. Suspenso desde 01/10/2025, sem previsão de pagamento e com histórico de inadimplência recorrente. Em 15/01/2026 foi pedido aval para negativação.</t>
  </si>
  <si>
    <t>Validar com o escritório a situação da cobrança e obter o aval da vertical para negativação.</t>
  </si>
  <si>
    <t>Christopher Terrengui</t>
  </si>
  <si>
    <t>30005824</t>
  </si>
  <si>
    <t>A confirmar com o financeiro</t>
  </si>
  <si>
    <t>Dívida de R$ 16.658,51 sem juros (R$ 14.877,45 faturado e R$ 1.781,06 represado), com 406 dias de atraso. Cliente questionou os valores, recebeu planilha detalhada e parou de responder. CS indica envio ao escritório de cobrança.</t>
  </si>
  <si>
    <t>Financeiro confirmar se a dívida já está com o escritório e resolver a pendência de projeto que impede a negativação.</t>
  </si>
  <si>
    <t>Henrique Reges de Carvalho</t>
  </si>
  <si>
    <t>30003568</t>
  </si>
  <si>
    <t>Dívida de R$ 1.966,40 (R$ 1.474,80 faturado e R$ 491,60 represado), R$ 2.458,00 com juros, 96 dias de atraso. Sem retorno do cliente; bloqueio da plataforma pedido em 10/08/2026. CS informa que o débito está com o escritório de cobrança terceirizado.</t>
  </si>
  <si>
    <t>Confirmar com o financeiro se o débito foi entregue ao escritório terceirizado e atualizar o estágio na planilha.</t>
  </si>
  <si>
    <t>Marcia Angelica Barboza Coradini</t>
  </si>
  <si>
    <t>30001840</t>
  </si>
  <si>
    <t>Inadimplência recorrente, 127 dias de atraso e sem previsão de pagamento. Negativação feita após o cliente não retornar ao contato; suspensão da plataforma pedida em 30/06/2026. Dívida de R$ 701,40, sendo R$ 346,02 faturados e R$ 355,38 represados.</t>
  </si>
  <si>
    <t>Financeiro confirmar se a dívida foi entregue ao escritório de cobrança e atualizar o estágio na planilha.</t>
  </si>
  <si>
    <t>Marcelo Benedito Lara</t>
  </si>
  <si>
    <t>30003885</t>
  </si>
  <si>
    <t>Quitado pelo escritório</t>
  </si>
  <si>
    <t>Dívida registrada de R$ 4476,00 quitada integralmente; valor pago não informado. CS informa que os débitos foram quitados integralmente (linha marcada como paga). A dívida registrada no financeiro era de R$ 4.476,00, com 327 dias de atraso e suspensão desde 01/06/2025. Próxima etapa é a renovação.</t>
  </si>
  <si>
    <t>Financeiro confirmar a baixa do pagamento, retirar do escritório terceirizado e baixar a negativação, se houver; CS conduzir a renovação para reativar o contrato.</t>
  </si>
  <si>
    <t>Total em cobrança no escritório</t>
  </si>
  <si>
    <t>Contratos em churn: cancelamento pedido ou em distrato</t>
  </si>
  <si>
    <t>Cada cliente em uma linha. Tellus e Theodoro, que pagaram o faturado antes de cancelar, estão na aba Recuperado.</t>
  </si>
  <si>
    <t>Nº de contratos</t>
  </si>
  <si>
    <t>Etapa do encerramento</t>
  </si>
  <si>
    <t>Receita mensal (R$)</t>
  </si>
  <si>
    <t>Pedido de cancelamento</t>
  </si>
  <si>
    <t>Dias desde o pedido</t>
  </si>
  <si>
    <t>Débito a acertar (R$)</t>
  </si>
  <si>
    <t>Valor recebido (R$)</t>
  </si>
  <si>
    <t>Lucival Portilho Arantes</t>
  </si>
  <si>
    <t>30006028 e 30006243</t>
  </si>
  <si>
    <t>AgriManager e Aliare Cloud</t>
  </si>
  <si>
    <t>Pagamento ou acordo feito</t>
  </si>
  <si>
    <t>Pago, aguardando distrato</t>
  </si>
  <si>
    <t>Dois contratos: AgriManager, com mensalidade de R$ 4.248,62, e Aliare Cloud, com R$ 1.647,50. O cliente pediu cancelamento por email em 23/05/2026 e pagou R$ 15.000,00 em 16/09/2026 referentes aos débitos. O distrato do AgriManager aguarda emissão, e o do Aliare Cloud aguarda o pagamento da multa.</t>
  </si>
  <si>
    <t>Financeiro confirmar se o pagamento quitou débitos e multas dos dois contratos; contratos emitir os dois distratos.</t>
  </si>
  <si>
    <t>Agro Santa Clara Ltda</t>
  </si>
  <si>
    <t>30005780</t>
  </si>
  <si>
    <t>Multa em discussão com o cliente</t>
  </si>
  <si>
    <t>Aguardando retorno de contratos</t>
  </si>
  <si>
    <t>Cliente pediu cancelamento por email em 22/06/2026, alegando descumprimento do acordo pela empresa, e pede isenção da multa. Mensalidade de R$ 4.594,51.</t>
  </si>
  <si>
    <t>Contratos decidir sobre o pedido de isenção da multa; CS formalizar o distrato com o cliente e dar retorno ao financeiro.</t>
  </si>
  <si>
    <t>Pedro Jose Bertuol</t>
  </si>
  <si>
    <t>30001494</t>
  </si>
  <si>
    <t>Distrato em assinatura</t>
  </si>
  <si>
    <t>Aguardando assinatura do distrato</t>
  </si>
  <si>
    <t>Cliente pediu cancelamento por email em 01/04/2026, há quase seis meses. O CS parou na etapa de retenção e o financeiro registra o contrato aguardando assinatura do distrato. Receita mensal perdida de R$ 3.927,73.</t>
  </si>
  <si>
    <t>CS encerrar a tentativa de retenção e contratos colher a assinatura do distrato.</t>
  </si>
  <si>
    <t>Gemiro Carafini</t>
  </si>
  <si>
    <t>30003130</t>
  </si>
  <si>
    <t>Aguardando pagamento da multa</t>
  </si>
  <si>
    <t>Cliente pediu cancelamento e o distrato aguarda o pagamento da multa de cancelamento. Mensalidade de R$ 2.581,48.</t>
  </si>
  <si>
    <t>Financeiro cobrar a multa de cancelamento para concluir o distrato.</t>
  </si>
  <si>
    <t>Augusto Cesar Andrade Maia</t>
  </si>
  <si>
    <t>30005811</t>
  </si>
  <si>
    <t>Cliente pediu cancelamento por email em 08/04/2026, citando falhas e inconsistências recorrentes no sistema. Débito de R$ 12.712,00 com juros. Distrato aguarda pagamento da multa.</t>
  </si>
  <si>
    <t>Cobrança acompanhar o pagamento da multa e do débito para liberar o distrato.</t>
  </si>
  <si>
    <t>Alex Roberto dos Santos Arruda</t>
  </si>
  <si>
    <t>30005366</t>
  </si>
  <si>
    <t>Aguardando pagamento de boletos</t>
  </si>
  <si>
    <t>Aguardando pagamento dos boletos</t>
  </si>
  <si>
    <t>Cliente pediu o cancelamento e o distrato está em assinatura. Pendente o pagamento dos boletos em aberto. Mensalidade perdida de R$ 2.217,92.</t>
  </si>
  <si>
    <t>Cobrar os boletos em aberto e concluir o distrato para baixa do contrato.</t>
  </si>
  <si>
    <t>Tiago Godoy Vilela e Outro</t>
  </si>
  <si>
    <t>30003665</t>
  </si>
  <si>
    <t>Cliente pediu o cancelamento do contrato; distrato em andamento. Aguarda pagamento de boletos em aberto para concluir. Mensalidade perdida de R$ 2.144,87; data do pedido e valor dos boletos não informados.</t>
  </si>
  <si>
    <t>Acompanhar o pagamento dos boletos e, com a quitação, colher a assinatura do distrato.</t>
  </si>
  <si>
    <t>Agro Alianca Ltda</t>
  </si>
  <si>
    <t>30007127</t>
  </si>
  <si>
    <t>Cliente pediu cancelamento por email, alegando inconsistências e falhas recorrentes no sistema. Distrato em assinatura, aguardando retorno de contratos. Mensalidade de R$ 1.950,00.</t>
  </si>
  <si>
    <t>Contratos dar retorno ao cliente sobre o distrato; comercial avaliar se a negociação registrada pelo financeiro ainda permite reversão.</t>
  </si>
  <si>
    <t>Fernando Lunardi e Outros</t>
  </si>
  <si>
    <t>30005213</t>
  </si>
  <si>
    <t>Cliente recusa pagar multa</t>
  </si>
  <si>
    <t>Cliente pediu o cancelamento e reforçou o pedido várias vezes. Contrato segue suspenso porque o cliente se recusa a pagar a multa contratual. Mensalidade perdida de R$ 1.890,33.</t>
  </si>
  <si>
    <t>Definir se a multa será flexibilizada para fechar o distrato ou cobrada por via formal.</t>
  </si>
  <si>
    <t>Fernando Vieira Peres</t>
  </si>
  <si>
    <t>30007136</t>
  </si>
  <si>
    <t>Cliente pediu cancelamento por email em 14/08/2026, ainda em implantação; a tentativa de reversão não teve sucesso. Ordens de serviço e saldo restante foram enviados a contratos, sem retorno até agora. Inadimplente desde maio de 2026, sem valor de dívida nas planilhas; mensalidade perdida de R$ 1.670,87.</t>
  </si>
  <si>
    <t>Contratos retornar com o cálculo do saldo e das ordens de serviço; financeiro e CS fechar a decisão entre reativar e encerrar e acionar a cobrança.</t>
  </si>
  <si>
    <t>Fabio Giovanni Martins Carrapateira</t>
  </si>
  <si>
    <t>30003425</t>
  </si>
  <si>
    <t>Aguardando retorno sobre multa</t>
  </si>
  <si>
    <t>Cliente encerrou as atividades e pediu cancelamento em 12/2025, sem renovar a assinatura. Pagava por resgate e, ao voltar a pagar pelo sistema, optou por sair. Distrato em andamento, aguardando retorno do cliente sobre a multa; mensalidade perdida de R$ 1.654,40.</t>
  </si>
  <si>
    <t>Cobrar retorno do cliente sobre a multa rescisória e colher a assinatura do distrato.</t>
  </si>
  <si>
    <t>Jose Dias de Melo Neto</t>
  </si>
  <si>
    <t>30002284</t>
  </si>
  <si>
    <t>Distrato em andamento</t>
  </si>
  <si>
    <t>Contrato em processo de cancelamento, com distrato em andamento no financeiro. Receita mensal perdida de R$ 1.597,39. Sem data do pedido registrada.</t>
  </si>
  <si>
    <t>Contratos concluir o distrato e CS registrar data e motivo do pedido.</t>
  </si>
  <si>
    <t>Falcon Agricola Ltda</t>
  </si>
  <si>
    <t>30006062</t>
  </si>
  <si>
    <t>Cliente pediu cancelamento por email em 15/09/2026, alegando que não usa o sistema há muito tempo, e pediu revisão dos débitos. Dívida de R$ 13.859,02 na carteira interna: R$ 5.959,02 faturados e R$ 7.900,00 represados em 5 parcelas, 125 dias de atraso. Suspenso desde 13/03/2026, negativação liberada em 19/03/2026, histórico de inadimplência recorrente.</t>
  </si>
  <si>
    <t>Contratos retornar sobre o distrato e a revisão dos débitos pedida pelo cliente; cobrança definir o valor final a cobrar no encerramento.</t>
  </si>
  <si>
    <t>Luiz Espindula Cardoso Neto</t>
  </si>
  <si>
    <t>30007418</t>
  </si>
  <si>
    <t>Cliente pediu cancelamento ao time de projetos ainda em implantação e deixou de responder; formalizou por email em 22/09/2026, alegando dificuldade de uso, erros e limitações do sistema. Dívida de R$ 9.000,00 em mensalidades faturadas, sem represado, 60 dias de atraso nas primeiras parcelas. Suspenso desde 27/08/2026.</t>
  </si>
  <si>
    <t>Contratos responder ao pedido formal e fechar o distrato; cobrança incluir os R$ 9.000,00 faturados no acerto do encerramento.</t>
  </si>
  <si>
    <t>Ordata Ltda</t>
  </si>
  <si>
    <t>30005737</t>
  </si>
  <si>
    <t>Distrato em negociação</t>
  </si>
  <si>
    <t>Contrato em cancelamento nas duas planilhas, com distrato em negociação. Mensalidade perdida de R$ 1.422,90. Sem data do pedido e sem débito registrado.</t>
  </si>
  <si>
    <t>CS registrar data e motivo do pedido e concluir a negociação do distrato.</t>
  </si>
  <si>
    <t>Ivan Alves Silva</t>
  </si>
  <si>
    <t>30004447</t>
  </si>
  <si>
    <t>Inadimplente desde 12/2025, pediu cancelamento em 06/2026 e não pagou a multa. Distrato parado à espera do pagamento. Mensalidade de R$ 1.202,27.</t>
  </si>
  <si>
    <t>Definir com o financeiro o valor da multa e dos débitos desde 12/2025 e cobrar para concluir o distrato; sem pagamento, avaliar envio ao escritório de cobrança.</t>
  </si>
  <si>
    <t>Leandro Gai Anversa</t>
  </si>
  <si>
    <t>30005572</t>
  </si>
  <si>
    <t>Aliare Cloud</t>
  </si>
  <si>
    <t>Cliente pediu o cancelamento pelo chamado 795460 e o distrato está em assinatura. Pendente o pagamento dos boletos em aberto. Mensalidade de R$ 1.201,62.</t>
  </si>
  <si>
    <t>Cobrar os boletos em aberto e concluir o distrato.</t>
  </si>
  <si>
    <t>Giliarde Rodrigues da Silva</t>
  </si>
  <si>
    <t>30005742</t>
  </si>
  <si>
    <t>Cliente pediu cancelamento; o financeiro aguarda retorno do cliente sobre a multa rescisória. Mensalidade perdida de R$ 1.200,00. Sem data do pedido registrada.</t>
  </si>
  <si>
    <t>CS cobrar retorno do cliente sobre a multa e fechar o distrato.</t>
  </si>
  <si>
    <t>Beatriz Costa Franco</t>
  </si>
  <si>
    <t>30005913</t>
  </si>
  <si>
    <t>Acordo de débito em cobrança</t>
  </si>
  <si>
    <t>Cliente em processo de cancelamento. Débito negociado em 2 parcelas de R$ 1.000,00 e repassado ao contas a receber. Mensalidade de R$ 950,00.</t>
  </si>
  <si>
    <t>Contas a receber acompanhar o pagamento das 2 parcelas; contratos emitir o distrato após a quitação.</t>
  </si>
  <si>
    <t>Almir Dal Rovere</t>
  </si>
  <si>
    <t>30004420</t>
  </si>
  <si>
    <t>Sem etapa registrada</t>
  </si>
  <si>
    <t>Encerramento por não renovação</t>
  </si>
  <si>
    <t>Após pesquisa, o cliente decidiu não renovar o contrato e o faturamento suspendeu. Mensalidade perdida de R$ 924,66. Sem data do pedido e sem débito informado.</t>
  </si>
  <si>
    <t>Formalizar o encerramento por não renovação e atualizar o substatus no sistema para cancelamento.</t>
  </si>
  <si>
    <t>Volmir Antonio Faveiro</t>
  </si>
  <si>
    <t>30005970</t>
  </si>
  <si>
    <t>Cliente pediu cancelamento; distrato em fase de assinatura. Encerramento depende do pagamento dos boletos em aberto. Mensalidade de R$ 896,00.</t>
  </si>
  <si>
    <t>Cobrança acompanhar o pagamento dos boletos; contratos concluir o distrato.</t>
  </si>
  <si>
    <t>Eldon Ricardo Beckmamm</t>
  </si>
  <si>
    <t>30005679</t>
  </si>
  <si>
    <t>Cliente pediu o cancelamento e o distrato está em assinatura. Aguardando retorno do cliente sobre o pagamento da multa contratual. Mensalidade perdida de R$ 780,82.</t>
  </si>
  <si>
    <t>Cobrar retorno do cliente sobre a multa e fechar o distrato.</t>
  </si>
  <si>
    <t>Luciano Jayme Guimaraes</t>
  </si>
  <si>
    <t>30003080</t>
  </si>
  <si>
    <t>Aguardando confirmação do distrato</t>
  </si>
  <si>
    <t>Cliente pediu cancelamento pelo chamado 800613 e o distrato está em fase de assinatura. Receita mensal perdida de R$ 702,06.</t>
  </si>
  <si>
    <t>Contratos confirmar a assinatura do distrato e CS registrar o motivo do cancelamento.</t>
  </si>
  <si>
    <t>Marco Antonio Giacon</t>
  </si>
  <si>
    <t>30007041</t>
  </si>
  <si>
    <t>Acordo de pagamento em acompanhamento</t>
  </si>
  <si>
    <t>06/2026</t>
  </si>
  <si>
    <t>Inadimplente desde fevereiro de 2026, pediu cancelamento em junho de 2026, depois de ser cobrado. Existe acordo de pagamento em acompanhamento. Mensalidade perdida de R$ 700,00; valor da dívida não informado.</t>
  </si>
  <si>
    <t>Cobrança acompanhar o cumprimento do acordo; contratos concluir o distrato ao fim do acordo.</t>
  </si>
  <si>
    <t>Joao Miguel Giongo Freitas</t>
  </si>
  <si>
    <t>30006190</t>
  </si>
  <si>
    <t>Cancelamento em andamento</t>
  </si>
  <si>
    <t>07/2026</t>
  </si>
  <si>
    <t>Inadimplente desde janeiro de 2026, pediu cancelamento em julho de 2026 e o processo está em andamento. Mensalidade perdida de R$ 590,00. Valor da dívida não informado nas planilhas.</t>
  </si>
  <si>
    <t>Contratos formalizar o distrato; cobrança levantar o débito acumulado desde janeiro de 2026 para cobrar no encerramento.</t>
  </si>
  <si>
    <t>Claudio Moizes Decares</t>
  </si>
  <si>
    <t>30006175</t>
  </si>
  <si>
    <t>Cliente pediu o cancelamento do contrato e o distrato está em assinatura. Mensalidade perdida de R$ 550,00. O encerramento depende do pagamento dos boletos em aberto, cujo valor não consta nas planilhas.</t>
  </si>
  <si>
    <t>Cobrança acompanhar o pagamento dos boletos; contratos concluir a assinatura do distrato após a quitação.</t>
  </si>
  <si>
    <t>Geraldo Roberto Mossignato</t>
  </si>
  <si>
    <t>30003756</t>
  </si>
  <si>
    <t>Aguardando comprovante de pagamento</t>
  </si>
  <si>
    <t>Cliente pediu cancelamento em 28/08/2026. O valor em aberto e a chave PIX foram enviados ao cliente, que ainda não mandou o comprovante. Mensalidade de R$ 549,62.</t>
  </si>
  <si>
    <t>Cobrar o comprovante do PIX, confirmar o pagamento com o financeiro e formalizar o distrato.</t>
  </si>
  <si>
    <t>José Valdir Martins Vieira</t>
  </si>
  <si>
    <t>30004798</t>
  </si>
  <si>
    <t>Cliente pediu o cancelamento. Distrato enviado e aguardando assinatura do cliente. Mensalidade perdida de R$ 528,11.</t>
  </si>
  <si>
    <t>Cobrar a assinatura do distrato e encerrar o contrato.</t>
  </si>
  <si>
    <t>William Cardoso dos Santos</t>
  </si>
  <si>
    <t>30005762</t>
  </si>
  <si>
    <t>Aguardando retorno do CS</t>
  </si>
  <si>
    <t>Cliente pediu cancelamento, tratado em chamado de atendimento. Distrato em fase de assinatura, financeiro aguarda retorno do CS. Mensalidade de R$ 500,00.</t>
  </si>
  <si>
    <t>CS dar retorno ao financeiro e concluir a assinatura do distrato.</t>
  </si>
  <si>
    <t>Roni Cesar Ferreira Alves Machado</t>
  </si>
  <si>
    <t>30001886</t>
  </si>
  <si>
    <t>Empresa fechada, sem contato</t>
  </si>
  <si>
    <t>CS lista o contrato como cancelamento: empresa fechada, ligada a grupo em recuperação judicial, sem sucesso nas tentativas de contato. Financeiro mantém cobrança de R$ 1.678,29 faturados, com 217 dias de atraso e aval para negativação pedido em 20/07/2026 sem resposta.</t>
  </si>
  <si>
    <t>Contratos formalizar o encerramento; jurídico avaliar habilitação do crédito de R$ 1.678,29 na recuperação judicial.</t>
  </si>
  <si>
    <t>Vinicius da Silva Soares</t>
  </si>
  <si>
    <t>30005162</t>
  </si>
  <si>
    <t>Cliente em processo de cancelamento, suspenso por inadimplência. Não há registro da etapa do distrato nem do valor em aberto. Mensalidade perdida de R$ 422,40.</t>
  </si>
  <si>
    <t>Confirmar a etapa do distrato e levantar se há débito a cobrar antes da baixa.</t>
  </si>
  <si>
    <t>Gizelly Santos</t>
  </si>
  <si>
    <t>30004487</t>
  </si>
  <si>
    <t>Cliente pediu o cancelamento e o distrato está em assinatura. Pendente o pagamento dos boletos em aberto para encerrar. Mensalidade perdida de R$ 410,95.</t>
  </si>
  <si>
    <t>Cobrar os boletos em aberto e concluir a assinatura do distrato para baixa do contrato.</t>
  </si>
  <si>
    <t>Marino Bortolas Neto</t>
  </si>
  <si>
    <t>30002073</t>
  </si>
  <si>
    <t>Cancelamento sem etapa registrada</t>
  </si>
  <si>
    <t>CS lista o contrato na aba de cancelamentos, com receita mensal perdida de R$ 235,20. Não há data do pedido, observação nem etapa do distrato registradas.</t>
  </si>
  <si>
    <t>CS registrar data do pedido e etapa do distrato; financeiro incluir o contrato na base de cancelamentos.</t>
  </si>
  <si>
    <t>Nativa Agricultura Sustentável Ltda</t>
  </si>
  <si>
    <t>30003714</t>
  </si>
  <si>
    <t>Sem registro de etapa</t>
  </si>
  <si>
    <t>Consta como cancelamento no relatório do CS, com mensalidade perdida zerada. Não há anotação de etapa, data do pedido nem débito.</t>
  </si>
  <si>
    <t>CS registrar a data do pedido e a etapa do distrato, e confirmar com o financeiro se há débito ou multa pendente.</t>
  </si>
  <si>
    <t>Suspensos sem cobrança de dívida</t>
  </si>
  <si>
    <t>Renovação anual do myFarm, pendência de projeto ou análise contratual. O último contrato foi cedido e sai da lista de suspensos.</t>
  </si>
  <si>
    <t>Motivo da suspensão</t>
  </si>
  <si>
    <t>Cooperativa Agropecuária Primavera (COAP)</t>
  </si>
  <si>
    <t>30005923</t>
  </si>
  <si>
    <t>Renovação em negociação</t>
  </si>
  <si>
    <t>Contrato suspenso durante a renovação anual de 08/2026, com orientação de não cobrar. O cliente segue em atendimento, com demanda de produto levada ao desenvolvimento em 24/09/2026.</t>
  </si>
  <si>
    <t>Comercial concluir a renovação e alinhar com o CS a baixa do registro de cancelamento.</t>
  </si>
  <si>
    <t>Liseu José Scherer</t>
  </si>
  <si>
    <t>30005114</t>
  </si>
  <si>
    <t>Contrato suspenso por negociação comercial na rodada de renovações anuais do myFarm de 08/2026. Sem débito informado. Mensalidade de R$ 936,91.</t>
  </si>
  <si>
    <t>Comercial concluir a renovação e definir prazo de retomada do acesso.</t>
  </si>
  <si>
    <t>Diego Mora Macena</t>
  </si>
  <si>
    <t>30005113</t>
  </si>
  <si>
    <t>Contrato suspenso porque o cliente não renovou. O cliente informou que cotou outros ERPs e o comercial tenta reter na rodada de renovações anuais do myFarm de 08/2026. Mensalidade de R$ 493,08.</t>
  </si>
  <si>
    <t>Comercial apresentar proposta de renovação e definir prazo de retomada. Risco de perda para concorrente.</t>
  </si>
  <si>
    <t>Waldyrene Barros Silva</t>
  </si>
  <si>
    <t>30005886</t>
  </si>
  <si>
    <t>Implantação pausada pela cliente</t>
  </si>
  <si>
    <t>Cliente pausou a implantação por um projeto pessoal e informou que não deseja cancelar. Contrato suspenso por pendência de projeto. Mensalidade de R$ 419,25.</t>
  </si>
  <si>
    <t>CS confirmar com a cliente a permanência, definir data de retomada da implantação e ajustar o status no sistema.</t>
  </si>
  <si>
    <t>Adriana Cristina Guizelini</t>
  </si>
  <si>
    <t>30002312</t>
  </si>
  <si>
    <t>Renovação sem retorno do cliente</t>
  </si>
  <si>
    <t>Suspenso por negociação da renovação anual myFarm de 08/2026. Cliente não responde WhatsApp, email nem ligação. Sem dívida registrada; mensalidade de R$ 408,28.</t>
  </si>
  <si>
    <t>Comercial definir prazo de retomada da renovação; sem retorno, avaliar tratamento como cancelamento.</t>
  </si>
  <si>
    <t>José Wilian Bahdur</t>
  </si>
  <si>
    <t>30003798</t>
  </si>
  <si>
    <t>Aguardando retorno do comercial</t>
  </si>
  <si>
    <t>Contrato de 2024 sem projeto aberto e sem uso do sistema. Suspenso pelo faturamento, aguardando a negociação do comercial. CS informa que o cliente nunca respondeu contatos nem cobranças e que o telefone cadastrado provavelmente mudou; mensalidade de R$ 312,52.</t>
  </si>
  <si>
    <t>Comercial confirmar se há contato ativo com o cliente; sem retorno, avaliar o encerramento do contrato.</t>
  </si>
  <si>
    <t>Rogerio Ezequiel Ferrari</t>
  </si>
  <si>
    <t>30002988</t>
  </si>
  <si>
    <t>Contrato cedido a outro titular</t>
  </si>
  <si>
    <t>Contrato cedido a outro titular, que segue no contrato 30007586. Sem débito registrado.</t>
  </si>
  <si>
    <t>Contratos encerrar este contrato, que sai da lista de suspensos, e confirmar o contrato 30007586 ativo.</t>
  </si>
  <si>
    <t>Plano Safra: o que ficou para 30/03/2027</t>
  </si>
  <si>
    <t>Um acordo fechado e uma proposta em análise; os demais são candidatos.</t>
  </si>
  <si>
    <t>Como funciona</t>
  </si>
  <si>
    <t>1. O cliente assina termo de confissão de dívida e o boleto vence em 30/03/2027, quando o produtor de grãos já recebeu pela colheita da soja.</t>
  </si>
  <si>
    <t>2. A data fica antes de 30/04, quando vence a maior parte das compras de insumos: a Aliare recebe antes dos outros credores.</t>
  </si>
  <si>
    <t>3. O represado e as mensalidades de outubro a dezembro podem entrar no mesmo boleto.</t>
  </si>
  <si>
    <t>4. A mensalidade volta a ser faturada no mês seguinte ao acordo, e o contrato é reativado.</t>
  </si>
  <si>
    <t>5. Pede entrada ou parcela intermediária antes da virada do ano, e justificativa de plantio.</t>
  </si>
  <si>
    <t>Valor envolvido (R$)</t>
  </si>
  <si>
    <t>Condição</t>
  </si>
  <si>
    <t>Acordo fechado em 18/09/2026</t>
  </si>
  <si>
    <t>Represado de junho a setembro de 2026 em pagamento único</t>
  </si>
  <si>
    <t>5 parcelas de R$ 3.573,64 até fevereiro e saldo de R$ 17.868,28 em 30/03/2027</t>
  </si>
  <si>
    <t>O cliente alega dificuldade financeira e contesta o valor.</t>
  </si>
  <si>
    <t>Represado fora do acordo de 10 parcelas feito com o escritório</t>
  </si>
  <si>
    <t>Reunião em 25/09/2026 às 15h para tratar dos débitos.</t>
  </si>
  <si>
    <t>13 parcelas represadas desde 09/2025</t>
  </si>
  <si>
    <t>Cliente sem retorno.</t>
  </si>
  <si>
    <t>Indicado pelo financeiro</t>
  </si>
  <si>
    <t>Flexibilização para 2027 com entrada de 20%</t>
  </si>
  <si>
    <t>Posição da cobrança dos contratos suspensos</t>
  </si>
  <si>
    <t>Aliare · Operações Produtor Rural</t>
  </si>
  <si>
    <t>Data da posição</t>
  </si>
  <si>
    <t>Receita mensal recuperada em setembro</t>
  </si>
  <si>
    <t>Contratos anuais divididos por 12.</t>
  </si>
  <si>
    <t>Da carteira de cobrança</t>
  </si>
  <si>
    <t>Extra, fora das planilhas de cobrança</t>
  </si>
  <si>
    <t>Linhas em roxo na aba Recuperado.</t>
  </si>
  <si>
    <t>Em 12 meses</t>
  </si>
  <si>
    <t>Contratos reativados</t>
  </si>
  <si>
    <t>Seguem ativos hoje</t>
  </si>
  <si>
    <t>Dívida dos contratos negociados</t>
  </si>
  <si>
    <t>Dívida cobrada</t>
  </si>
  <si>
    <t>Recuperado (em caixa mais a receber)</t>
  </si>
  <si>
    <t>Em caixa</t>
  </si>
  <si>
    <t>A receber em acordo</t>
  </si>
  <si>
    <t>Calendário na aba A receber, até 30/03/2027.</t>
  </si>
  <si>
    <t>Não recuperado</t>
  </si>
  <si>
    <t>Detalhe na aba Não recuperado.</t>
  </si>
  <si>
    <t>Ainda em cobrança ou em encerramento</t>
  </si>
  <si>
    <t>Em aberto na carteira interna</t>
  </si>
  <si>
    <t>No escritório de cobrança</t>
  </si>
  <si>
    <t>Churn: receita mensal em cancelamento</t>
  </si>
  <si>
    <t>Churn: débitos a acertar no encerramento</t>
  </si>
  <si>
    <t>Churn: valor já recebido</t>
  </si>
  <si>
    <t>Negociação comercial: mensalidade suspensa</t>
  </si>
  <si>
    <t>Como ler</t>
  </si>
  <si>
    <t>MRR recuperado: mensalidade que voltou a ser faturada depois da reativação. Contrato anual entra dividido por 12.</t>
  </si>
  <si>
    <t>Represado: meses não faturados durante a suspensão. Débito faturado: mensalidades faturadas e não pagas.</t>
  </si>
  <si>
    <t>Extra: contrato recuperado pela central de cobrança que não estava nas planilhas de cobrança do financeiro e do CS.</t>
  </si>
  <si>
    <t>Cada cliente aparece em uma única aba. Valores em reais.</t>
  </si>
  <si>
    <t>Fontes: planilha de inadimplência do financeiro, relatório de inadimplentes do CS e recuperação mensal da central de cobrança, posição de 25/09/2026.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</si>
</sst>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\-&quot;R$&quot;\ #,##0.00;&quot;-&quot;"/>
    <numFmt numFmtId="165" formatCode="0.0%\ &quot;da dívida cobrada&quot;"/>
  </numFmts>
  <fonts count="12" x14ac:knownFonts="1">
    <font>
      <sz val="10"/>
      <color theme="1"/>
      <name val="Arial"/>
      <family val="2"/>
    </font>
    <font>
      <b/>
      <sz val="14"/>
      <color rgb="FF172029"/>
      <name val="Arial"/>
      <family val="2"/>
    </font>
    <font>
      <sz val="10"/>
      <color rgb="FF6F7C8A"/>
      <name val="Arial"/>
      <family val="2"/>
    </font>
    <font>
      <b/>
      <sz val="9"/>
      <color indexed="81"/>
      <name val="Segoe UI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4A5766"/>
      <name val="Arial"/>
      <family val="2"/>
    </font>
    <font>
      <b/>
      <sz val="16"/>
      <color rgb="FF172029"/>
      <name val="Arial"/>
      <family val="2"/>
    </font>
    <font>
      <sz val="10"/>
      <color rgb="FF172029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0"/>
      <color rgb="FF6F7C8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2029"/>
        <bgColor indexed="64"/>
      </patternFill>
    </fill>
    <fill>
      <patternFill patternType="solid">
        <fgColor rgb="FFF0EAFC"/>
        <bgColor indexed="64"/>
      </patternFill>
    </fill>
    <fill>
      <patternFill patternType="solid">
        <fgColor rgb="FFEDF1F6"/>
        <bgColor indexed="64"/>
      </patternFill>
    </fill>
    <fill>
      <patternFill patternType="solid">
        <fgColor rgb="FFE1F2E5"/>
        <bgColor indexed="64"/>
      </patternFill>
    </fill>
  </fills>
  <borders count="4">
    <border>
      <left/>
      <right/>
      <top/>
      <bottom/>
      <diagonal/>
    </border>
    <border>
      <left style="thin">
        <color rgb="FFD8DFE8"/>
      </left>
      <right style="thin">
        <color rgb="FFD8DFE8"/>
      </right>
      <top style="thin">
        <color rgb="FFD8DFE8"/>
      </top>
      <bottom style="thin">
        <color rgb="FFD8DFE8"/>
      </bottom>
      <diagonal/>
    </border>
    <border>
      <left style="thin">
        <color rgb="FFD8DFE8"/>
      </left>
      <right style="thin">
        <color rgb="FFD8DFE8"/>
      </right>
      <top style="thin">
        <color rgb="FFD8DFE8"/>
      </top>
      <bottom/>
      <diagonal/>
    </border>
    <border>
      <left style="thin">
        <color rgb="FFD8DFE8"/>
      </left>
      <right style="thin">
        <color rgb="FFD8DFE8"/>
      </right>
      <top style="thin">
        <color rgb="FF172029"/>
      </top>
      <bottom style="thin">
        <color rgb="FFD8DFE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49" fontId="0" fillId="3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14" fontId="0" fillId="0" borderId="2" xfId="0" applyNumberFormat="1" applyBorder="1" applyAlignment="1">
      <alignment vertical="top"/>
    </xf>
    <xf numFmtId="1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 wrapText="1"/>
    </xf>
    <xf numFmtId="0" fontId="4" fillId="4" borderId="3" xfId="0" applyFont="1" applyFill="1" applyBorder="1"/>
    <xf numFmtId="49" fontId="4" fillId="4" borderId="3" xfId="0" applyNumberFormat="1" applyFont="1" applyFill="1" applyBorder="1"/>
    <xf numFmtId="164" fontId="4" fillId="4" borderId="3" xfId="0" applyNumberFormat="1" applyFont="1" applyFill="1" applyBorder="1"/>
    <xf numFmtId="14" fontId="4" fillId="4" borderId="3" xfId="0" applyNumberFormat="1" applyFont="1" applyFill="1" applyBorder="1"/>
    <xf numFmtId="1" fontId="4" fillId="4" borderId="3" xfId="0" applyNumberFormat="1" applyFont="1" applyFill="1" applyBorder="1"/>
    <xf numFmtId="0" fontId="0" fillId="5" borderId="2" xfId="0" applyFill="1" applyBorder="1" applyAlignment="1">
      <alignment vertical="top"/>
    </xf>
    <xf numFmtId="49" fontId="0" fillId="5" borderId="2" xfId="0" applyNumberFormat="1" applyFill="1" applyBorder="1" applyAlignment="1">
      <alignment vertical="top"/>
    </xf>
    <xf numFmtId="164" fontId="0" fillId="5" borderId="2" xfId="0" applyNumberForma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14" fontId="0" fillId="0" borderId="1" xfId="0" quotePrefix="1" applyNumberFormat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14" fontId="8" fillId="0" borderId="0" xfId="0" applyNumberFormat="1" applyFont="1" applyAlignment="1">
      <alignment horizontal="right"/>
    </xf>
    <xf numFmtId="0" fontId="9" fillId="4" borderId="0" xfId="0" applyFont="1" applyFill="1" applyAlignment="1">
      <alignment vertical="center"/>
    </xf>
    <xf numFmtId="164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left" indent="1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left" indent="1"/>
    </xf>
    <xf numFmtId="0" fontId="6" fillId="0" borderId="0" xfId="0" applyFont="1" applyAlignment="1">
      <alignment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1019-42F2-42FD-A4FD-874C781C57C9}">
  <sheetPr>
    <tabColor rgb="FF172029"/>
    <pageSetUpPr fitToPage="1"/>
  </sheetPr>
  <dimension ref="B1:D33"/>
  <sheetViews>
    <sheetView showGridLines="0" tabSelected="1" workbookViewId="0"/>
  </sheetViews>
  <sheetFormatPr defaultRowHeight="12.75" x14ac:dyDescent="0.2"/>
  <cols>
    <col min="1" max="1" width="3.7109375" customWidth="1"/>
    <col min="2" max="2" width="44.7109375" customWidth="1"/>
    <col min="3" max="3" width="20.7109375" customWidth="1"/>
    <col min="4" max="4" width="48.7109375" customWidth="1"/>
  </cols>
  <sheetData>
    <row r="1" spans="2:4" ht="20.25" x14ac:dyDescent="0.3">
      <c r="B1" s="34" t="s">
        <v>422</v>
      </c>
    </row>
    <row r="2" spans="2:4" x14ac:dyDescent="0.2">
      <c r="B2" s="2" t="s">
        <v>423</v>
      </c>
    </row>
    <row r="3" spans="2:4" x14ac:dyDescent="0.2">
      <c r="B3" s="35" t="s">
        <v>424</v>
      </c>
      <c r="C3" s="36">
        <v>46290</v>
      </c>
    </row>
    <row r="5" spans="2:4" ht="21.95" customHeight="1" x14ac:dyDescent="0.2">
      <c r="B5" s="37" t="s">
        <v>425</v>
      </c>
      <c r="C5" s="37"/>
      <c r="D5" s="37"/>
    </row>
    <row r="6" spans="2:4" ht="15.75" x14ac:dyDescent="0.25">
      <c r="B6" s="35" t="s">
        <v>9</v>
      </c>
      <c r="C6" s="38">
        <f>Recuperado!H23</f>
        <v>25101.439999999999</v>
      </c>
      <c r="D6" s="39" t="s">
        <v>426</v>
      </c>
    </row>
    <row r="7" spans="2:4" x14ac:dyDescent="0.2">
      <c r="B7" s="35" t="s">
        <v>427</v>
      </c>
      <c r="C7" s="40">
        <f>SUMIFS(Recuperado!$H$5:$H$22,Recuperado!$E$5:$E$22,"Carteira de cobrança")</f>
        <v>21210.260000000002</v>
      </c>
    </row>
    <row r="8" spans="2:4" x14ac:dyDescent="0.2">
      <c r="B8" s="35" t="s">
        <v>428</v>
      </c>
      <c r="C8" s="40">
        <f>SUMIFS(Recuperado!$H$5:$H$22,Recuperado!$E$5:$E$22,"Extra")</f>
        <v>3891.18</v>
      </c>
      <c r="D8" s="39" t="s">
        <v>429</v>
      </c>
    </row>
    <row r="9" spans="2:4" x14ac:dyDescent="0.2">
      <c r="B9" s="35" t="s">
        <v>430</v>
      </c>
      <c r="C9" s="40">
        <f>C6*12</f>
        <v>301217.27999999997</v>
      </c>
    </row>
    <row r="10" spans="2:4" x14ac:dyDescent="0.2">
      <c r="B10" s="35" t="s">
        <v>431</v>
      </c>
      <c r="C10" s="41">
        <f>COUNTIF(Recuperado!$H$5:$H$22,"&gt;0")</f>
        <v>15</v>
      </c>
    </row>
    <row r="11" spans="2:4" x14ac:dyDescent="0.2">
      <c r="B11" s="35" t="s">
        <v>432</v>
      </c>
      <c r="C11" s="41">
        <f>COUNTIF(Recuperado!$K$5:$K$22,"Ativo")</f>
        <v>12</v>
      </c>
    </row>
    <row r="13" spans="2:4" ht="21.95" customHeight="1" x14ac:dyDescent="0.2">
      <c r="B13" s="37" t="s">
        <v>433</v>
      </c>
      <c r="C13" s="37"/>
      <c r="D13" s="37"/>
    </row>
    <row r="14" spans="2:4" x14ac:dyDescent="0.2">
      <c r="B14" s="35" t="s">
        <v>434</v>
      </c>
      <c r="C14" s="40">
        <f>Recuperado!L23</f>
        <v>113295.06999999999</v>
      </c>
    </row>
    <row r="15" spans="2:4" ht="15.75" x14ac:dyDescent="0.25">
      <c r="B15" s="35" t="s">
        <v>435</v>
      </c>
      <c r="C15" s="38">
        <f>Recuperado!P23</f>
        <v>86807.87</v>
      </c>
      <c r="D15" s="42">
        <f>IF(C14=0,"",C15/C14)</f>
        <v>0.76621048029715677</v>
      </c>
    </row>
    <row r="16" spans="2:4" x14ac:dyDescent="0.2">
      <c r="B16" s="35" t="s">
        <v>436</v>
      </c>
      <c r="C16" s="40">
        <f>Recuperado!M23</f>
        <v>34053.18</v>
      </c>
    </row>
    <row r="17" spans="2:4" x14ac:dyDescent="0.2">
      <c r="B17" s="35" t="s">
        <v>437</v>
      </c>
      <c r="C17" s="40">
        <f>Recuperado!N23</f>
        <v>52754.69</v>
      </c>
      <c r="D17" s="39" t="s">
        <v>438</v>
      </c>
    </row>
    <row r="18" spans="2:4" x14ac:dyDescent="0.2">
      <c r="B18" s="35" t="s">
        <v>439</v>
      </c>
      <c r="C18" s="40">
        <f>Recuperado!O23</f>
        <v>26487.200000000001</v>
      </c>
      <c r="D18" s="39" t="s">
        <v>440</v>
      </c>
    </row>
    <row r="20" spans="2:4" ht="21.95" customHeight="1" x14ac:dyDescent="0.2">
      <c r="B20" s="37" t="s">
        <v>441</v>
      </c>
      <c r="C20" s="37"/>
      <c r="D20" s="37"/>
    </row>
    <row r="21" spans="2:4" x14ac:dyDescent="0.2">
      <c r="B21" s="35" t="s">
        <v>442</v>
      </c>
      <c r="C21" s="40">
        <f>'Em aberto'!G10</f>
        <v>153248.80000000002</v>
      </c>
      <c r="D21" s="39" t="str">
        <f>COUNTA('Em aberto'!A5:A9)&amp;" contratos"</f>
        <v>5 contratos</v>
      </c>
    </row>
    <row r="22" spans="2:4" x14ac:dyDescent="0.2">
      <c r="B22" s="35" t="s">
        <v>443</v>
      </c>
      <c r="C22" s="40">
        <f>Escritório!G12</f>
        <v>57599.670000000006</v>
      </c>
      <c r="D22" s="39" t="str">
        <f>COUNT(Escritório!G5:G11)&amp;" contratos em cobrança e 1 quitado"</f>
        <v>6 contratos em cobrança e 1 quitado</v>
      </c>
    </row>
    <row r="23" spans="2:4" x14ac:dyDescent="0.2">
      <c r="B23" s="35" t="s">
        <v>444</v>
      </c>
      <c r="C23" s="40">
        <f>Churn!G39</f>
        <v>49937.640000000007</v>
      </c>
      <c r="D23" s="39" t="str">
        <f>Churn!C39&amp;" contratos de "&amp;COUNTA(Churn!A5:A38)&amp;" clientes"</f>
        <v>35 contratos de 34 clientes</v>
      </c>
    </row>
    <row r="24" spans="2:4" x14ac:dyDescent="0.2">
      <c r="B24" s="35" t="s">
        <v>445</v>
      </c>
      <c r="C24" s="40">
        <f>Churn!J39</f>
        <v>37249.310000000005</v>
      </c>
    </row>
    <row r="25" spans="2:4" x14ac:dyDescent="0.2">
      <c r="B25" s="35" t="s">
        <v>446</v>
      </c>
      <c r="C25" s="40">
        <f>Churn!K39</f>
        <v>15000</v>
      </c>
    </row>
    <row r="26" spans="2:4" x14ac:dyDescent="0.2">
      <c r="B26" s="35" t="s">
        <v>447</v>
      </c>
      <c r="C26" s="40">
        <f>'Negociação comercial'!E12</f>
        <v>8516.23</v>
      </c>
    </row>
    <row r="28" spans="2:4" ht="21.95" customHeight="1" x14ac:dyDescent="0.2">
      <c r="B28" s="37" t="s">
        <v>448</v>
      </c>
      <c r="C28" s="37"/>
      <c r="D28" s="37"/>
    </row>
    <row r="29" spans="2:4" ht="27" customHeight="1" x14ac:dyDescent="0.2">
      <c r="B29" s="43" t="s">
        <v>449</v>
      </c>
      <c r="C29" s="43"/>
      <c r="D29" s="43"/>
    </row>
    <row r="30" spans="2:4" ht="27" customHeight="1" x14ac:dyDescent="0.2">
      <c r="B30" s="43" t="s">
        <v>450</v>
      </c>
      <c r="C30" s="43"/>
      <c r="D30" s="43"/>
    </row>
    <row r="31" spans="2:4" ht="27" customHeight="1" x14ac:dyDescent="0.2">
      <c r="B31" s="43" t="s">
        <v>451</v>
      </c>
      <c r="C31" s="43"/>
      <c r="D31" s="43"/>
    </row>
    <row r="32" spans="2:4" ht="27" customHeight="1" x14ac:dyDescent="0.2">
      <c r="B32" s="43" t="s">
        <v>452</v>
      </c>
      <c r="C32" s="43"/>
      <c r="D32" s="43"/>
    </row>
    <row r="33" spans="2:4" ht="27" customHeight="1" x14ac:dyDescent="0.2">
      <c r="B33" s="43" t="s">
        <v>453</v>
      </c>
      <c r="C33" s="43"/>
      <c r="D33" s="43"/>
    </row>
  </sheetData>
  <mergeCells count="5">
    <mergeCell ref="B29:D29"/>
    <mergeCell ref="B30:D30"/>
    <mergeCell ref="B31:D31"/>
    <mergeCell ref="B32:D32"/>
    <mergeCell ref="B33:D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CD4C-2635-4702-A814-0685DC781171}">
  <sheetPr>
    <tabColor rgb="FF1E8A3E"/>
    <pageSetUpPr fitToPage="1"/>
  </sheetPr>
  <dimension ref="A1:Q23"/>
  <sheetViews>
    <sheetView showGridLines="0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2.75" x14ac:dyDescent="0.2"/>
  <cols>
    <col min="1" max="1" width="34.7109375" customWidth="1"/>
    <col min="2" max="2" width="11.7109375" customWidth="1"/>
    <col min="3" max="3" width="13.7109375" customWidth="1"/>
    <col min="4" max="4" width="24.7109375" customWidth="1"/>
    <col min="5" max="5" width="20.7109375" customWidth="1"/>
    <col min="6" max="6" width="13.7109375" customWidth="1"/>
    <col min="7" max="7" width="16.7109375" customWidth="1"/>
    <col min="8" max="8" width="17.7109375" customWidth="1"/>
    <col min="9" max="9" width="13.7109375" customWidth="1"/>
    <col min="10" max="10" width="10.7109375" customWidth="1"/>
    <col min="11" max="11" width="30.7109375" customWidth="1"/>
    <col min="12" max="12" width="15.7109375" customWidth="1"/>
    <col min="13" max="13" width="14.7109375" customWidth="1"/>
    <col min="14" max="16" width="15.7109375" customWidth="1"/>
    <col min="17" max="17" width="70.7109375" customWidth="1"/>
  </cols>
  <sheetData>
    <row r="1" spans="1:17" ht="18" x14ac:dyDescent="0.25">
      <c r="A1" s="1" t="s">
        <v>0</v>
      </c>
    </row>
    <row r="2" spans="1:17" x14ac:dyDescent="0.2">
      <c r="A2" s="2" t="s">
        <v>1</v>
      </c>
    </row>
    <row r="4" spans="1:17" ht="39.950000000000003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spans="1:17" ht="38.25" x14ac:dyDescent="0.2">
      <c r="A5" s="5" t="s">
        <v>19</v>
      </c>
      <c r="B5" s="6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7">
        <v>5000</v>
      </c>
      <c r="H5" s="7">
        <f>IF(G5="","",IF(F5="Anual",ROUND(G5/12,2),G5))</f>
        <v>5000</v>
      </c>
      <c r="I5" s="8">
        <v>46287</v>
      </c>
      <c r="J5" s="9">
        <v>3</v>
      </c>
      <c r="K5" s="10" t="s">
        <v>25</v>
      </c>
      <c r="L5" s="7">
        <v>20862.900000000001</v>
      </c>
      <c r="M5" s="7">
        <v>6258.78</v>
      </c>
      <c r="N5" s="7">
        <v>14603.82</v>
      </c>
      <c r="O5" s="7">
        <v>0.3</v>
      </c>
      <c r="P5" s="7">
        <f>IF(L5="","",M5+N5)</f>
        <v>20862.599999999999</v>
      </c>
      <c r="Q5" s="10" t="s">
        <v>26</v>
      </c>
    </row>
    <row r="6" spans="1:17" ht="51" x14ac:dyDescent="0.2">
      <c r="A6" s="5" t="s">
        <v>27</v>
      </c>
      <c r="B6" s="6" t="s">
        <v>28</v>
      </c>
      <c r="C6" s="5" t="s">
        <v>29</v>
      </c>
      <c r="D6" s="5" t="s">
        <v>22</v>
      </c>
      <c r="E6" s="5" t="s">
        <v>23</v>
      </c>
      <c r="F6" s="5" t="s">
        <v>24</v>
      </c>
      <c r="G6" s="7">
        <v>4876.6000000000004</v>
      </c>
      <c r="H6" s="7">
        <f>IF(G6="","",IF(F6="Anual",ROUND(G6/12,2),G6))</f>
        <v>4876.6000000000004</v>
      </c>
      <c r="I6" s="8">
        <v>46289</v>
      </c>
      <c r="J6" s="9">
        <v>33</v>
      </c>
      <c r="K6" s="10" t="s">
        <v>30</v>
      </c>
      <c r="L6" s="7">
        <v>34629.79</v>
      </c>
      <c r="M6" s="7">
        <v>10000</v>
      </c>
      <c r="N6" s="7">
        <v>24629.79</v>
      </c>
      <c r="O6" s="7">
        <v>0</v>
      </c>
      <c r="P6" s="7">
        <f>IF(L6="","",M6+N6)</f>
        <v>34629.79</v>
      </c>
      <c r="Q6" s="10" t="s">
        <v>31</v>
      </c>
    </row>
    <row r="7" spans="1:17" ht="63.75" x14ac:dyDescent="0.2">
      <c r="A7" s="5" t="s">
        <v>32</v>
      </c>
      <c r="B7" s="6" t="s">
        <v>33</v>
      </c>
      <c r="C7" s="5" t="s">
        <v>29</v>
      </c>
      <c r="D7" s="5" t="s">
        <v>34</v>
      </c>
      <c r="E7" s="5" t="s">
        <v>23</v>
      </c>
      <c r="F7" s="5" t="s">
        <v>24</v>
      </c>
      <c r="G7" s="7">
        <v>3529.65</v>
      </c>
      <c r="H7" s="7">
        <f>IF(G7="","",IF(F7="Anual",ROUND(G7/12,2),G7))</f>
        <v>3529.65</v>
      </c>
      <c r="I7" s="8">
        <v>46287</v>
      </c>
      <c r="J7" s="9">
        <v>24</v>
      </c>
      <c r="K7" s="10" t="s">
        <v>30</v>
      </c>
      <c r="L7" s="7">
        <v>13521.08</v>
      </c>
      <c r="M7" s="7">
        <v>0</v>
      </c>
      <c r="N7" s="7">
        <v>13521.08</v>
      </c>
      <c r="O7" s="7">
        <v>0</v>
      </c>
      <c r="P7" s="7">
        <f>IF(L7="","",M7+N7)</f>
        <v>13521.08</v>
      </c>
      <c r="Q7" s="10" t="s">
        <v>35</v>
      </c>
    </row>
    <row r="8" spans="1:17" ht="25.5" x14ac:dyDescent="0.2">
      <c r="A8" s="11" t="s">
        <v>36</v>
      </c>
      <c r="B8" s="12" t="s">
        <v>37</v>
      </c>
      <c r="C8" s="11" t="s">
        <v>29</v>
      </c>
      <c r="D8" s="11" t="s">
        <v>38</v>
      </c>
      <c r="E8" s="11" t="s">
        <v>39</v>
      </c>
      <c r="F8" s="11" t="s">
        <v>24</v>
      </c>
      <c r="G8" s="13">
        <v>2230.23</v>
      </c>
      <c r="H8" s="13">
        <f>IF(G8="","",IF(F8="Anual",ROUND(G8/12,2),G8))</f>
        <v>2230.23</v>
      </c>
      <c r="I8" s="14">
        <v>46269</v>
      </c>
      <c r="J8" s="15">
        <v>7</v>
      </c>
      <c r="K8" s="16" t="s">
        <v>30</v>
      </c>
      <c r="L8" s="13"/>
      <c r="M8" s="13"/>
      <c r="N8" s="13"/>
      <c r="O8" s="13"/>
      <c r="P8" s="13" t="str">
        <f>IF(L8="","",M8+N8)</f>
        <v/>
      </c>
      <c r="Q8" s="16" t="s">
        <v>40</v>
      </c>
    </row>
    <row r="9" spans="1:17" ht="25.5" x14ac:dyDescent="0.2">
      <c r="A9" s="5" t="s">
        <v>41</v>
      </c>
      <c r="B9" s="6" t="s">
        <v>42</v>
      </c>
      <c r="C9" s="5" t="s">
        <v>21</v>
      </c>
      <c r="D9" s="5" t="s">
        <v>38</v>
      </c>
      <c r="E9" s="5" t="s">
        <v>23</v>
      </c>
      <c r="F9" s="5" t="s">
        <v>24</v>
      </c>
      <c r="G9" s="7">
        <v>1457.26</v>
      </c>
      <c r="H9" s="7">
        <f>IF(G9="","",IF(F9="Anual",ROUND(G9/12,2),G9))</f>
        <v>1457.26</v>
      </c>
      <c r="I9" s="8">
        <v>46287</v>
      </c>
      <c r="J9" s="9">
        <v>25</v>
      </c>
      <c r="K9" s="10" t="s">
        <v>43</v>
      </c>
      <c r="L9" s="7"/>
      <c r="M9" s="7"/>
      <c r="N9" s="7"/>
      <c r="O9" s="7"/>
      <c r="P9" s="7" t="str">
        <f>IF(L9="","",M9+N9)</f>
        <v/>
      </c>
      <c r="Q9" s="10" t="s">
        <v>44</v>
      </c>
    </row>
    <row r="10" spans="1:17" ht="51" x14ac:dyDescent="0.2">
      <c r="A10" s="5" t="s">
        <v>45</v>
      </c>
      <c r="B10" s="6" t="s">
        <v>46</v>
      </c>
      <c r="C10" s="5" t="s">
        <v>21</v>
      </c>
      <c r="D10" s="5" t="s">
        <v>38</v>
      </c>
      <c r="E10" s="5" t="s">
        <v>23</v>
      </c>
      <c r="F10" s="5" t="s">
        <v>24</v>
      </c>
      <c r="G10" s="7">
        <v>1400</v>
      </c>
      <c r="H10" s="7">
        <f>IF(G10="","",IF(F10="Anual",ROUND(G10/12,2),G10))</f>
        <v>1400</v>
      </c>
      <c r="I10" s="8">
        <v>46269</v>
      </c>
      <c r="J10" s="9">
        <v>73</v>
      </c>
      <c r="K10" s="10" t="s">
        <v>30</v>
      </c>
      <c r="L10" s="7"/>
      <c r="M10" s="7"/>
      <c r="N10" s="7"/>
      <c r="O10" s="7"/>
      <c r="P10" s="7" t="str">
        <f>IF(L10="","",M10+N10)</f>
        <v/>
      </c>
      <c r="Q10" s="10" t="s">
        <v>47</v>
      </c>
    </row>
    <row r="11" spans="1:17" ht="25.5" x14ac:dyDescent="0.2">
      <c r="A11" s="5" t="s">
        <v>48</v>
      </c>
      <c r="B11" s="6" t="s">
        <v>49</v>
      </c>
      <c r="C11" s="5" t="s">
        <v>21</v>
      </c>
      <c r="D11" s="5" t="s">
        <v>50</v>
      </c>
      <c r="E11" s="5" t="s">
        <v>23</v>
      </c>
      <c r="F11" s="5" t="s">
        <v>24</v>
      </c>
      <c r="G11" s="7">
        <v>1398.65</v>
      </c>
      <c r="H11" s="7">
        <f>IF(G11="","",IF(F11="Anual",ROUND(G11/12,2),G11))</f>
        <v>1398.65</v>
      </c>
      <c r="I11" s="8">
        <v>46289</v>
      </c>
      <c r="J11" s="9">
        <v>26</v>
      </c>
      <c r="K11" s="10" t="s">
        <v>51</v>
      </c>
      <c r="L11" s="7">
        <v>2797.3</v>
      </c>
      <c r="M11" s="7">
        <v>2797.3</v>
      </c>
      <c r="N11" s="7">
        <v>0</v>
      </c>
      <c r="O11" s="7">
        <v>0</v>
      </c>
      <c r="P11" s="7">
        <f>IF(L11="","",M11+N11)</f>
        <v>2797.3</v>
      </c>
      <c r="Q11" s="10" t="s">
        <v>52</v>
      </c>
    </row>
    <row r="12" spans="1:17" ht="38.25" x14ac:dyDescent="0.2">
      <c r="A12" s="5" t="s">
        <v>53</v>
      </c>
      <c r="B12" s="6" t="s">
        <v>54</v>
      </c>
      <c r="C12" s="5" t="s">
        <v>29</v>
      </c>
      <c r="D12" s="5" t="s">
        <v>50</v>
      </c>
      <c r="E12" s="5" t="s">
        <v>23</v>
      </c>
      <c r="F12" s="5" t="s">
        <v>24</v>
      </c>
      <c r="G12" s="7">
        <v>1200</v>
      </c>
      <c r="H12" s="7">
        <f>IF(G12="","",IF(F12="Anual",ROUND(G12/12,2),G12))</f>
        <v>1200</v>
      </c>
      <c r="I12" s="8">
        <v>46283</v>
      </c>
      <c r="J12" s="9">
        <v>22</v>
      </c>
      <c r="K12" s="10" t="s">
        <v>30</v>
      </c>
      <c r="L12" s="7">
        <v>2400</v>
      </c>
      <c r="M12" s="7">
        <v>2400</v>
      </c>
      <c r="N12" s="7">
        <v>0</v>
      </c>
      <c r="O12" s="7">
        <v>0</v>
      </c>
      <c r="P12" s="7">
        <f>IF(L12="","",M12+N12)</f>
        <v>2400</v>
      </c>
      <c r="Q12" s="10" t="s">
        <v>55</v>
      </c>
    </row>
    <row r="13" spans="1:17" ht="25.5" x14ac:dyDescent="0.2">
      <c r="A13" s="11" t="s">
        <v>56</v>
      </c>
      <c r="B13" s="12" t="s">
        <v>57</v>
      </c>
      <c r="C13" s="11" t="s">
        <v>21</v>
      </c>
      <c r="D13" s="11" t="s">
        <v>38</v>
      </c>
      <c r="E13" s="11" t="s">
        <v>39</v>
      </c>
      <c r="F13" s="11" t="s">
        <v>24</v>
      </c>
      <c r="G13" s="13">
        <v>847.18</v>
      </c>
      <c r="H13" s="13">
        <f>IF(G13="","",IF(F13="Anual",ROUND(G13/12,2),G13))</f>
        <v>847.18</v>
      </c>
      <c r="I13" s="14">
        <v>46269</v>
      </c>
      <c r="J13" s="15">
        <v>23</v>
      </c>
      <c r="K13" s="16" t="s">
        <v>30</v>
      </c>
      <c r="L13" s="13"/>
      <c r="M13" s="13"/>
      <c r="N13" s="13"/>
      <c r="O13" s="13"/>
      <c r="P13" s="13" t="str">
        <f>IF(L13="","",M13+N13)</f>
        <v/>
      </c>
      <c r="Q13" s="16" t="s">
        <v>58</v>
      </c>
    </row>
    <row r="14" spans="1:17" ht="25.5" x14ac:dyDescent="0.2">
      <c r="A14" s="5" t="s">
        <v>59</v>
      </c>
      <c r="B14" s="6" t="s">
        <v>60</v>
      </c>
      <c r="C14" s="5" t="s">
        <v>21</v>
      </c>
      <c r="D14" s="5" t="s">
        <v>38</v>
      </c>
      <c r="E14" s="5" t="s">
        <v>23</v>
      </c>
      <c r="F14" s="5" t="s">
        <v>24</v>
      </c>
      <c r="G14" s="7">
        <v>705.99</v>
      </c>
      <c r="H14" s="7">
        <f>IF(G14="","",IF(F14="Anual",ROUND(G14/12,2),G14))</f>
        <v>705.99</v>
      </c>
      <c r="I14" s="8">
        <v>46280</v>
      </c>
      <c r="J14" s="9">
        <v>34</v>
      </c>
      <c r="K14" s="10" t="s">
        <v>30</v>
      </c>
      <c r="L14" s="7"/>
      <c r="M14" s="7"/>
      <c r="N14" s="7"/>
      <c r="O14" s="7"/>
      <c r="P14" s="7" t="str">
        <f>IF(L14="","",M14+N14)</f>
        <v/>
      </c>
      <c r="Q14" s="10" t="s">
        <v>61</v>
      </c>
    </row>
    <row r="15" spans="1:17" ht="38.25" x14ac:dyDescent="0.2">
      <c r="A15" s="11" t="s">
        <v>62</v>
      </c>
      <c r="B15" s="12" t="s">
        <v>63</v>
      </c>
      <c r="C15" s="11" t="s">
        <v>21</v>
      </c>
      <c r="D15" s="11" t="s">
        <v>38</v>
      </c>
      <c r="E15" s="11" t="s">
        <v>39</v>
      </c>
      <c r="F15" s="11" t="s">
        <v>64</v>
      </c>
      <c r="G15" s="13">
        <v>8000</v>
      </c>
      <c r="H15" s="13">
        <f>IF(G15="","",IF(F15="Anual",ROUND(G15/12,2),G15))</f>
        <v>666.67</v>
      </c>
      <c r="I15" s="14">
        <v>46269</v>
      </c>
      <c r="J15" s="15">
        <v>23</v>
      </c>
      <c r="K15" s="16" t="s">
        <v>30</v>
      </c>
      <c r="L15" s="13"/>
      <c r="M15" s="13"/>
      <c r="N15" s="13"/>
      <c r="O15" s="13"/>
      <c r="P15" s="13" t="str">
        <f>IF(L15="","",M15+N15)</f>
        <v/>
      </c>
      <c r="Q15" s="16" t="s">
        <v>65</v>
      </c>
    </row>
    <row r="16" spans="1:17" x14ac:dyDescent="0.2">
      <c r="A16" s="5" t="s">
        <v>66</v>
      </c>
      <c r="B16" s="6" t="s">
        <v>67</v>
      </c>
      <c r="C16" s="5" t="s">
        <v>21</v>
      </c>
      <c r="D16" s="5" t="s">
        <v>50</v>
      </c>
      <c r="E16" s="5" t="s">
        <v>23</v>
      </c>
      <c r="F16" s="5" t="s">
        <v>24</v>
      </c>
      <c r="G16" s="7">
        <v>650</v>
      </c>
      <c r="H16" s="7">
        <f>IF(G16="","",IF(F16="Anual",ROUND(G16/12,2),G16))</f>
        <v>650</v>
      </c>
      <c r="I16" s="8">
        <v>46283</v>
      </c>
      <c r="J16" s="9">
        <v>22</v>
      </c>
      <c r="K16" s="10" t="s">
        <v>30</v>
      </c>
      <c r="L16" s="7">
        <v>2600</v>
      </c>
      <c r="M16" s="7">
        <v>2600</v>
      </c>
      <c r="N16" s="7">
        <v>0</v>
      </c>
      <c r="O16" s="7">
        <v>0</v>
      </c>
      <c r="P16" s="7">
        <f>IF(L16="","",M16+N16)</f>
        <v>2600</v>
      </c>
      <c r="Q16" s="10" t="s">
        <v>68</v>
      </c>
    </row>
    <row r="17" spans="1:17" x14ac:dyDescent="0.2">
      <c r="A17" s="5" t="s">
        <v>69</v>
      </c>
      <c r="B17" s="6" t="s">
        <v>70</v>
      </c>
      <c r="C17" s="5" t="s">
        <v>21</v>
      </c>
      <c r="D17" s="5" t="s">
        <v>50</v>
      </c>
      <c r="E17" s="5" t="s">
        <v>23</v>
      </c>
      <c r="F17" s="5" t="s">
        <v>24</v>
      </c>
      <c r="G17" s="7">
        <v>565</v>
      </c>
      <c r="H17" s="7">
        <f>IF(G17="","",IF(F17="Anual",ROUND(G17/12,2),G17))</f>
        <v>565</v>
      </c>
      <c r="I17" s="8">
        <v>46276</v>
      </c>
      <c r="J17" s="9">
        <v>15</v>
      </c>
      <c r="K17" s="10" t="s">
        <v>30</v>
      </c>
      <c r="L17" s="7">
        <v>2531.6799999999998</v>
      </c>
      <c r="M17" s="7">
        <v>2531.6799999999998</v>
      </c>
      <c r="N17" s="7">
        <v>0</v>
      </c>
      <c r="O17" s="7">
        <v>0</v>
      </c>
      <c r="P17" s="7">
        <f>IF(L17="","",M17+N17)</f>
        <v>2531.6799999999998</v>
      </c>
      <c r="Q17" s="10" t="s">
        <v>71</v>
      </c>
    </row>
    <row r="18" spans="1:17" ht="25.5" x14ac:dyDescent="0.2">
      <c r="A18" s="5" t="s">
        <v>72</v>
      </c>
      <c r="B18" s="6" t="s">
        <v>73</v>
      </c>
      <c r="C18" s="5" t="s">
        <v>21</v>
      </c>
      <c r="D18" s="5" t="s">
        <v>74</v>
      </c>
      <c r="E18" s="5" t="s">
        <v>23</v>
      </c>
      <c r="F18" s="5" t="s">
        <v>24</v>
      </c>
      <c r="G18" s="7">
        <v>427.11</v>
      </c>
      <c r="H18" s="7">
        <f>IF(G18="","",IF(F18="Anual",ROUND(G18/12,2),G18))</f>
        <v>427.11</v>
      </c>
      <c r="I18" s="8">
        <v>46283</v>
      </c>
      <c r="J18" s="9">
        <v>22</v>
      </c>
      <c r="K18" s="10" t="s">
        <v>30</v>
      </c>
      <c r="L18" s="7">
        <v>1381.31</v>
      </c>
      <c r="M18" s="7">
        <v>1174.1099999999999</v>
      </c>
      <c r="N18" s="7">
        <v>0</v>
      </c>
      <c r="O18" s="7">
        <v>207.2</v>
      </c>
      <c r="P18" s="7">
        <f>IF(L18="","",M18+N18)</f>
        <v>1174.1099999999999</v>
      </c>
      <c r="Q18" s="10" t="s">
        <v>75</v>
      </c>
    </row>
    <row r="19" spans="1:17" ht="25.5" x14ac:dyDescent="0.2">
      <c r="A19" s="11" t="s">
        <v>76</v>
      </c>
      <c r="B19" s="12" t="s">
        <v>77</v>
      </c>
      <c r="C19" s="11" t="s">
        <v>21</v>
      </c>
      <c r="D19" s="11" t="s">
        <v>38</v>
      </c>
      <c r="E19" s="11" t="s">
        <v>39</v>
      </c>
      <c r="F19" s="11" t="s">
        <v>64</v>
      </c>
      <c r="G19" s="13">
        <v>1765.17</v>
      </c>
      <c r="H19" s="13">
        <f>IF(G19="","",IF(F19="Anual",ROUND(G19/12,2),G19))</f>
        <v>147.1</v>
      </c>
      <c r="I19" s="14">
        <v>46269</v>
      </c>
      <c r="J19" s="15">
        <v>6</v>
      </c>
      <c r="K19" s="16" t="s">
        <v>30</v>
      </c>
      <c r="L19" s="13"/>
      <c r="M19" s="13"/>
      <c r="N19" s="13"/>
      <c r="O19" s="13"/>
      <c r="P19" s="13" t="str">
        <f>IF(L19="","",M19+N19)</f>
        <v/>
      </c>
      <c r="Q19" s="16" t="s">
        <v>78</v>
      </c>
    </row>
    <row r="20" spans="1:17" ht="38.25" x14ac:dyDescent="0.2">
      <c r="A20" s="5" t="s">
        <v>79</v>
      </c>
      <c r="B20" s="6" t="s">
        <v>80</v>
      </c>
      <c r="C20" s="5" t="s">
        <v>29</v>
      </c>
      <c r="D20" s="5" t="s">
        <v>81</v>
      </c>
      <c r="E20" s="5" t="s">
        <v>23</v>
      </c>
      <c r="F20" s="5"/>
      <c r="G20" s="7"/>
      <c r="H20" s="7" t="str">
        <f>IF(G20="","",IF(F20="Anual",ROUND(G20/12,2),G20))</f>
        <v/>
      </c>
      <c r="I20" s="8"/>
      <c r="J20" s="9"/>
      <c r="K20" s="10" t="s">
        <v>82</v>
      </c>
      <c r="L20" s="7">
        <v>24097.17</v>
      </c>
      <c r="M20" s="7">
        <v>2067.4699999999998</v>
      </c>
      <c r="N20" s="7">
        <v>0</v>
      </c>
      <c r="O20" s="7">
        <v>22029.7</v>
      </c>
      <c r="P20" s="7">
        <f>IF(L20="","",M20+N20)</f>
        <v>2067.4699999999998</v>
      </c>
      <c r="Q20" s="10" t="s">
        <v>83</v>
      </c>
    </row>
    <row r="21" spans="1:17" ht="63.75" x14ac:dyDescent="0.2">
      <c r="A21" s="5" t="s">
        <v>84</v>
      </c>
      <c r="B21" s="6" t="s">
        <v>85</v>
      </c>
      <c r="C21" s="5" t="s">
        <v>21</v>
      </c>
      <c r="D21" s="5" t="s">
        <v>81</v>
      </c>
      <c r="E21" s="5" t="s">
        <v>23</v>
      </c>
      <c r="F21" s="5"/>
      <c r="G21" s="7"/>
      <c r="H21" s="7" t="str">
        <f>IF(G21="","",IF(F21="Anual",ROUND(G21/12,2),G21))</f>
        <v/>
      </c>
      <c r="I21" s="8"/>
      <c r="J21" s="9"/>
      <c r="K21" s="10" t="s">
        <v>82</v>
      </c>
      <c r="L21" s="7">
        <v>5950</v>
      </c>
      <c r="M21" s="7">
        <v>1700</v>
      </c>
      <c r="N21" s="7">
        <v>0</v>
      </c>
      <c r="O21" s="7">
        <v>4250</v>
      </c>
      <c r="P21" s="7">
        <f>IF(L21="","",M21+N21)</f>
        <v>1700</v>
      </c>
      <c r="Q21" s="10" t="s">
        <v>86</v>
      </c>
    </row>
    <row r="22" spans="1:17" x14ac:dyDescent="0.2">
      <c r="A22" s="17" t="s">
        <v>87</v>
      </c>
      <c r="B22" s="18" t="s">
        <v>88</v>
      </c>
      <c r="C22" s="17" t="s">
        <v>29</v>
      </c>
      <c r="D22" s="17" t="s">
        <v>50</v>
      </c>
      <c r="E22" s="17" t="s">
        <v>23</v>
      </c>
      <c r="F22" s="17"/>
      <c r="G22" s="19"/>
      <c r="H22" s="19" t="str">
        <f>IF(G22="","",IF(F22="Anual",ROUND(G22/12,2),G22))</f>
        <v/>
      </c>
      <c r="I22" s="20"/>
      <c r="J22" s="21"/>
      <c r="K22" s="22" t="s">
        <v>89</v>
      </c>
      <c r="L22" s="19">
        <v>2523.84</v>
      </c>
      <c r="M22" s="19">
        <v>2523.84</v>
      </c>
      <c r="N22" s="19">
        <v>0</v>
      </c>
      <c r="O22" s="19">
        <v>0</v>
      </c>
      <c r="P22" s="19">
        <f>IF(L22="","",M22+N22)</f>
        <v>2523.84</v>
      </c>
      <c r="Q22" s="22" t="s">
        <v>90</v>
      </c>
    </row>
    <row r="23" spans="1:17" x14ac:dyDescent="0.2">
      <c r="A23" s="23" t="s">
        <v>91</v>
      </c>
      <c r="B23" s="24"/>
      <c r="C23" s="23"/>
      <c r="D23" s="23"/>
      <c r="E23" s="23"/>
      <c r="F23" s="23"/>
      <c r="G23" s="25"/>
      <c r="H23" s="25">
        <f>SUBTOTAL(9,H5:H22)</f>
        <v>25101.439999999999</v>
      </c>
      <c r="I23" s="26"/>
      <c r="J23" s="27"/>
      <c r="K23" s="23"/>
      <c r="L23" s="25">
        <f>SUBTOTAL(9,L5:L22)</f>
        <v>113295.06999999999</v>
      </c>
      <c r="M23" s="25">
        <f>SUBTOTAL(9,M5:M22)</f>
        <v>34053.18</v>
      </c>
      <c r="N23" s="25">
        <f>SUBTOTAL(9,N5:N22)</f>
        <v>52754.69</v>
      </c>
      <c r="O23" s="25">
        <f>SUBTOTAL(9,O5:O22)</f>
        <v>26487.200000000001</v>
      </c>
      <c r="P23" s="25">
        <f>SUBTOTAL(9,P5:P22)</f>
        <v>86807.87</v>
      </c>
      <c r="Q23" s="23"/>
    </row>
  </sheetData>
  <autoFilter ref="A4:Q22" xr:uid="{0102CD4C-2635-4702-A814-0685DC781171}"/>
  <pageMargins left="0.511811024" right="0.511811024" top="0.78740157499999996" bottom="0.78740157499999996" header="0.31496062000000002" footer="0.31496062000000002"/>
  <pageSetup paperSize="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151B-C744-4F5C-A27C-7A1EBFAF2703}">
  <sheetPr>
    <tabColor rgb="FF2B63D1"/>
    <pageSetUpPr fitToPage="1"/>
  </sheetPr>
  <dimension ref="A1:G11"/>
  <sheetViews>
    <sheetView showGridLines="0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2.75" x14ac:dyDescent="0.2"/>
  <cols>
    <col min="1" max="1" width="13.7109375" customWidth="1"/>
    <col min="2" max="2" width="34.7109375" customWidth="1"/>
    <col min="3" max="3" width="11.7109375" customWidth="1"/>
    <col min="4" max="4" width="30.7109375" customWidth="1"/>
    <col min="5" max="5" width="15.7109375" customWidth="1"/>
    <col min="6" max="6" width="14.7109375" customWidth="1"/>
    <col min="7" max="7" width="55.7109375" customWidth="1"/>
  </cols>
  <sheetData>
    <row r="1" spans="1:7" ht="18" x14ac:dyDescent="0.25">
      <c r="A1" s="1" t="s">
        <v>92</v>
      </c>
    </row>
    <row r="2" spans="1:7" x14ac:dyDescent="0.2">
      <c r="A2" s="2" t="s">
        <v>93</v>
      </c>
    </row>
    <row r="4" spans="1:7" ht="39.950000000000003" customHeight="1" x14ac:dyDescent="0.2">
      <c r="A4" s="4" t="s">
        <v>94</v>
      </c>
      <c r="B4" s="4" t="s">
        <v>2</v>
      </c>
      <c r="C4" s="4" t="s">
        <v>3</v>
      </c>
      <c r="D4" s="4" t="s">
        <v>95</v>
      </c>
      <c r="E4" s="4" t="s">
        <v>96</v>
      </c>
      <c r="F4" s="4" t="s">
        <v>97</v>
      </c>
      <c r="G4" s="4" t="s">
        <v>98</v>
      </c>
    </row>
    <row r="5" spans="1:7" x14ac:dyDescent="0.2">
      <c r="A5" s="8">
        <v>46309</v>
      </c>
      <c r="B5" s="5" t="s">
        <v>19</v>
      </c>
      <c r="C5" s="6" t="s">
        <v>20</v>
      </c>
      <c r="D5" s="5" t="s">
        <v>99</v>
      </c>
      <c r="E5" s="7">
        <v>7301.91</v>
      </c>
      <c r="F5" s="5" t="s">
        <v>100</v>
      </c>
      <c r="G5" s="10" t="s">
        <v>101</v>
      </c>
    </row>
    <row r="6" spans="1:7" x14ac:dyDescent="0.2">
      <c r="A6" s="8">
        <v>46320</v>
      </c>
      <c r="B6" s="5" t="s">
        <v>27</v>
      </c>
      <c r="C6" s="6" t="s">
        <v>28</v>
      </c>
      <c r="D6" s="5" t="s">
        <v>102</v>
      </c>
      <c r="E6" s="7">
        <v>8209.93</v>
      </c>
      <c r="F6" s="5" t="s">
        <v>100</v>
      </c>
      <c r="G6" s="10" t="s">
        <v>103</v>
      </c>
    </row>
    <row r="7" spans="1:7" x14ac:dyDescent="0.2">
      <c r="A7" s="8">
        <v>46340</v>
      </c>
      <c r="B7" s="5" t="s">
        <v>19</v>
      </c>
      <c r="C7" s="6" t="s">
        <v>20</v>
      </c>
      <c r="D7" s="5" t="s">
        <v>104</v>
      </c>
      <c r="E7" s="7">
        <v>7301.91</v>
      </c>
      <c r="F7" s="5" t="s">
        <v>100</v>
      </c>
      <c r="G7" s="10" t="s">
        <v>101</v>
      </c>
    </row>
    <row r="8" spans="1:7" x14ac:dyDescent="0.2">
      <c r="A8" s="8">
        <v>46351</v>
      </c>
      <c r="B8" s="5" t="s">
        <v>27</v>
      </c>
      <c r="C8" s="6" t="s">
        <v>28</v>
      </c>
      <c r="D8" s="5" t="s">
        <v>105</v>
      </c>
      <c r="E8" s="7">
        <v>8209.93</v>
      </c>
      <c r="F8" s="5" t="s">
        <v>100</v>
      </c>
      <c r="G8" s="10" t="s">
        <v>103</v>
      </c>
    </row>
    <row r="9" spans="1:7" x14ac:dyDescent="0.2">
      <c r="A9" s="8">
        <v>46381</v>
      </c>
      <c r="B9" s="5" t="s">
        <v>27</v>
      </c>
      <c r="C9" s="6" t="s">
        <v>28</v>
      </c>
      <c r="D9" s="5" t="s">
        <v>106</v>
      </c>
      <c r="E9" s="7">
        <v>8209.93</v>
      </c>
      <c r="F9" s="5" t="s">
        <v>100</v>
      </c>
      <c r="G9" s="10" t="s">
        <v>103</v>
      </c>
    </row>
    <row r="10" spans="1:7" x14ac:dyDescent="0.2">
      <c r="A10" s="20">
        <v>46476</v>
      </c>
      <c r="B10" s="17" t="s">
        <v>32</v>
      </c>
      <c r="C10" s="18" t="s">
        <v>33</v>
      </c>
      <c r="D10" s="17" t="s">
        <v>107</v>
      </c>
      <c r="E10" s="19">
        <v>13521.08</v>
      </c>
      <c r="F10" s="17" t="s">
        <v>108</v>
      </c>
      <c r="G10" s="22" t="s">
        <v>109</v>
      </c>
    </row>
    <row r="11" spans="1:7" x14ac:dyDescent="0.2">
      <c r="A11" s="26" t="s">
        <v>110</v>
      </c>
      <c r="B11" s="23"/>
      <c r="C11" s="24"/>
      <c r="D11" s="23"/>
      <c r="E11" s="25">
        <f>SUBTOTAL(9,E5:E10)</f>
        <v>52754.69</v>
      </c>
      <c r="F11" s="23"/>
      <c r="G11" s="23"/>
    </row>
  </sheetData>
  <autoFilter ref="A4:G10" xr:uid="{34C1151B-C744-4F5C-A27C-7A1EBFAF2703}"/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B188-7F81-4920-B6FC-51999B9CE2EB}">
  <sheetPr>
    <tabColor rgb="FFC8412F"/>
    <pageSetUpPr fitToPage="1"/>
  </sheetPr>
  <dimension ref="A1:F9"/>
  <sheetViews>
    <sheetView showGridLines="0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2.75" x14ac:dyDescent="0.2"/>
  <cols>
    <col min="1" max="1" width="34.7109375" customWidth="1"/>
    <col min="2" max="2" width="11.7109375" customWidth="1"/>
    <col min="3" max="3" width="13.7109375" customWidth="1"/>
    <col min="4" max="4" width="34.7109375" customWidth="1"/>
    <col min="5" max="5" width="15.7109375" customWidth="1"/>
    <col min="6" max="6" width="70.7109375" customWidth="1"/>
  </cols>
  <sheetData>
    <row r="1" spans="1:6" ht="18" x14ac:dyDescent="0.25">
      <c r="A1" s="1" t="s">
        <v>111</v>
      </c>
    </row>
    <row r="2" spans="1:6" x14ac:dyDescent="0.2">
      <c r="A2" s="2" t="s">
        <v>112</v>
      </c>
    </row>
    <row r="4" spans="1:6" ht="39.950000000000003" customHeight="1" x14ac:dyDescent="0.2">
      <c r="A4" s="4" t="s">
        <v>2</v>
      </c>
      <c r="B4" s="4" t="s">
        <v>3</v>
      </c>
      <c r="C4" s="4" t="s">
        <v>4</v>
      </c>
      <c r="D4" s="4" t="s">
        <v>113</v>
      </c>
      <c r="E4" s="4" t="s">
        <v>96</v>
      </c>
      <c r="F4" s="4" t="s">
        <v>98</v>
      </c>
    </row>
    <row r="5" spans="1:6" ht="25.5" x14ac:dyDescent="0.2">
      <c r="A5" s="5" t="s">
        <v>79</v>
      </c>
      <c r="B5" s="6" t="s">
        <v>80</v>
      </c>
      <c r="C5" s="5" t="s">
        <v>29</v>
      </c>
      <c r="D5" s="5" t="s">
        <v>114</v>
      </c>
      <c r="E5" s="7">
        <v>22029.7</v>
      </c>
      <c r="F5" s="10" t="s">
        <v>115</v>
      </c>
    </row>
    <row r="6" spans="1:6" ht="38.25" x14ac:dyDescent="0.2">
      <c r="A6" s="5" t="s">
        <v>84</v>
      </c>
      <c r="B6" s="6" t="s">
        <v>85</v>
      </c>
      <c r="C6" s="5" t="s">
        <v>21</v>
      </c>
      <c r="D6" s="5" t="s">
        <v>116</v>
      </c>
      <c r="E6" s="7">
        <v>4250</v>
      </c>
      <c r="F6" s="10" t="s">
        <v>117</v>
      </c>
    </row>
    <row r="7" spans="1:6" x14ac:dyDescent="0.2">
      <c r="A7" s="5" t="s">
        <v>72</v>
      </c>
      <c r="B7" s="6" t="s">
        <v>73</v>
      </c>
      <c r="C7" s="5" t="s">
        <v>21</v>
      </c>
      <c r="D7" s="5" t="s">
        <v>118</v>
      </c>
      <c r="E7" s="7">
        <v>207.2</v>
      </c>
      <c r="F7" s="10" t="s">
        <v>119</v>
      </c>
    </row>
    <row r="8" spans="1:6" x14ac:dyDescent="0.2">
      <c r="A8" s="17" t="s">
        <v>19</v>
      </c>
      <c r="B8" s="18" t="s">
        <v>20</v>
      </c>
      <c r="C8" s="17" t="s">
        <v>21</v>
      </c>
      <c r="D8" s="17" t="s">
        <v>120</v>
      </c>
      <c r="E8" s="19">
        <v>0.3</v>
      </c>
      <c r="F8" s="22" t="s">
        <v>121</v>
      </c>
    </row>
    <row r="9" spans="1:6" x14ac:dyDescent="0.2">
      <c r="A9" s="23" t="s">
        <v>122</v>
      </c>
      <c r="B9" s="24"/>
      <c r="C9" s="23"/>
      <c r="D9" s="23"/>
      <c r="E9" s="25">
        <f>SUBTOTAL(9,E5:E8)</f>
        <v>26487.200000000001</v>
      </c>
      <c r="F9" s="23"/>
    </row>
  </sheetData>
  <autoFilter ref="A4:F8" xr:uid="{5763B188-7F81-4920-B6FC-51999B9CE2EB}"/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6911-7A26-4E3E-BAE2-8944DC244734}">
  <sheetPr>
    <tabColor rgb="FFB26A00"/>
    <pageSetUpPr fitToPage="1"/>
  </sheetPr>
  <dimension ref="A1:L10"/>
  <sheetViews>
    <sheetView showGridLines="0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2.75" x14ac:dyDescent="0.2"/>
  <cols>
    <col min="1" max="1" width="32.7109375" customWidth="1"/>
    <col min="2" max="2" width="11.7109375" customWidth="1"/>
    <col min="3" max="3" width="13.7109375" customWidth="1"/>
    <col min="4" max="7" width="15.7109375" customWidth="1"/>
    <col min="8" max="8" width="17.7109375" customWidth="1"/>
    <col min="9" max="9" width="24.7109375" customWidth="1"/>
    <col min="10" max="10" width="22.7109375" customWidth="1"/>
    <col min="11" max="11" width="70.7109375" customWidth="1"/>
    <col min="12" max="12" width="50.7109375" customWidth="1"/>
  </cols>
  <sheetData>
    <row r="1" spans="1:12" ht="18" x14ac:dyDescent="0.25">
      <c r="A1" s="1" t="s">
        <v>123</v>
      </c>
    </row>
    <row r="2" spans="1:12" x14ac:dyDescent="0.2">
      <c r="A2" s="2" t="s">
        <v>124</v>
      </c>
    </row>
    <row r="4" spans="1:12" ht="39.950000000000003" customHeight="1" x14ac:dyDescent="0.2">
      <c r="A4" s="4" t="s">
        <v>2</v>
      </c>
      <c r="B4" s="4" t="s">
        <v>3</v>
      </c>
      <c r="C4" s="4" t="s">
        <v>4</v>
      </c>
      <c r="D4" s="4" t="s">
        <v>125</v>
      </c>
      <c r="E4" s="4" t="s">
        <v>126</v>
      </c>
      <c r="F4" s="4" t="s">
        <v>127</v>
      </c>
      <c r="G4" s="4" t="s">
        <v>128</v>
      </c>
      <c r="H4" s="4" t="s">
        <v>129</v>
      </c>
      <c r="I4" s="4" t="s">
        <v>5</v>
      </c>
      <c r="J4" s="4" t="s">
        <v>108</v>
      </c>
      <c r="K4" s="4" t="s">
        <v>98</v>
      </c>
      <c r="L4" s="4" t="s">
        <v>130</v>
      </c>
    </row>
    <row r="5" spans="1:12" ht="51" x14ac:dyDescent="0.2">
      <c r="A5" s="5" t="s">
        <v>131</v>
      </c>
      <c r="B5" s="6" t="s">
        <v>132</v>
      </c>
      <c r="C5" s="5" t="s">
        <v>29</v>
      </c>
      <c r="D5" s="7">
        <v>4467.33</v>
      </c>
      <c r="E5" s="7">
        <v>0</v>
      </c>
      <c r="F5" s="7">
        <v>58075.29</v>
      </c>
      <c r="G5" s="7">
        <f>E5+F5</f>
        <v>58075.29</v>
      </c>
      <c r="H5" s="7">
        <v>58088.29</v>
      </c>
      <c r="I5" s="5" t="s">
        <v>133</v>
      </c>
      <c r="J5" s="10" t="s">
        <v>134</v>
      </c>
      <c r="K5" s="10" t="s">
        <v>135</v>
      </c>
      <c r="L5" s="10" t="s">
        <v>136</v>
      </c>
    </row>
    <row r="6" spans="1:12" ht="51" x14ac:dyDescent="0.2">
      <c r="A6" s="5" t="s">
        <v>137</v>
      </c>
      <c r="B6" s="6" t="s">
        <v>138</v>
      </c>
      <c r="C6" s="5" t="s">
        <v>29</v>
      </c>
      <c r="D6" s="7">
        <v>8758.44</v>
      </c>
      <c r="E6" s="7">
        <v>0</v>
      </c>
      <c r="F6" s="7">
        <v>43792.2</v>
      </c>
      <c r="G6" s="7">
        <f>E6+F6</f>
        <v>43792.2</v>
      </c>
      <c r="H6" s="7">
        <v>43792.2</v>
      </c>
      <c r="I6" s="5" t="s">
        <v>139</v>
      </c>
      <c r="J6" s="10" t="s">
        <v>134</v>
      </c>
      <c r="K6" s="10" t="s">
        <v>140</v>
      </c>
      <c r="L6" s="10" t="s">
        <v>141</v>
      </c>
    </row>
    <row r="7" spans="1:12" ht="76.5" x14ac:dyDescent="0.2">
      <c r="A7" s="5" t="s">
        <v>142</v>
      </c>
      <c r="B7" s="6" t="s">
        <v>143</v>
      </c>
      <c r="C7" s="5" t="s">
        <v>29</v>
      </c>
      <c r="D7" s="7">
        <v>3098.61</v>
      </c>
      <c r="E7" s="7">
        <v>0</v>
      </c>
      <c r="F7" s="7">
        <v>35736.480000000003</v>
      </c>
      <c r="G7" s="7">
        <f>E7+F7</f>
        <v>35736.480000000003</v>
      </c>
      <c r="H7" s="7">
        <v>35736.480000000003</v>
      </c>
      <c r="I7" s="5" t="s">
        <v>144</v>
      </c>
      <c r="J7" s="10" t="s">
        <v>145</v>
      </c>
      <c r="K7" s="10" t="s">
        <v>146</v>
      </c>
      <c r="L7" s="10" t="s">
        <v>147</v>
      </c>
    </row>
    <row r="8" spans="1:12" ht="51" x14ac:dyDescent="0.2">
      <c r="A8" s="5" t="s">
        <v>148</v>
      </c>
      <c r="B8" s="6" t="s">
        <v>149</v>
      </c>
      <c r="C8" s="5" t="s">
        <v>29</v>
      </c>
      <c r="D8" s="7">
        <v>4204.55</v>
      </c>
      <c r="E8" s="7">
        <v>0</v>
      </c>
      <c r="F8" s="7">
        <v>10688.86</v>
      </c>
      <c r="G8" s="7">
        <f>E8+F8</f>
        <v>10688.86</v>
      </c>
      <c r="H8" s="7">
        <v>11020.56</v>
      </c>
      <c r="I8" s="5" t="s">
        <v>150</v>
      </c>
      <c r="J8" s="10"/>
      <c r="K8" s="10" t="s">
        <v>151</v>
      </c>
      <c r="L8" s="10" t="s">
        <v>152</v>
      </c>
    </row>
    <row r="9" spans="1:12" ht="38.25" x14ac:dyDescent="0.2">
      <c r="A9" s="17" t="s">
        <v>153</v>
      </c>
      <c r="B9" s="18" t="s">
        <v>154</v>
      </c>
      <c r="C9" s="17" t="s">
        <v>29</v>
      </c>
      <c r="D9" s="19">
        <v>1784.94</v>
      </c>
      <c r="E9" s="19">
        <v>4955.97</v>
      </c>
      <c r="F9" s="19">
        <v>0</v>
      </c>
      <c r="G9" s="19">
        <f>E9+F9</f>
        <v>4955.97</v>
      </c>
      <c r="H9" s="19">
        <v>4955.97</v>
      </c>
      <c r="I9" s="17" t="s">
        <v>133</v>
      </c>
      <c r="J9" s="22" t="s">
        <v>155</v>
      </c>
      <c r="K9" s="22" t="s">
        <v>156</v>
      </c>
      <c r="L9" s="22" t="s">
        <v>157</v>
      </c>
    </row>
    <row r="10" spans="1:12" x14ac:dyDescent="0.2">
      <c r="A10" s="23" t="s">
        <v>91</v>
      </c>
      <c r="B10" s="24"/>
      <c r="C10" s="23"/>
      <c r="D10" s="25">
        <f>SUBTOTAL(9,D5:D9)</f>
        <v>22313.87</v>
      </c>
      <c r="E10" s="25">
        <f>SUBTOTAL(9,E5:E9)</f>
        <v>4955.97</v>
      </c>
      <c r="F10" s="25">
        <f>SUBTOTAL(9,F5:F9)</f>
        <v>148292.83000000002</v>
      </c>
      <c r="G10" s="25">
        <f>SUBTOTAL(9,G5:G9)</f>
        <v>153248.80000000002</v>
      </c>
      <c r="H10" s="25">
        <f>SUBTOTAL(9,H5:H9)</f>
        <v>153593.5</v>
      </c>
      <c r="I10" s="23"/>
      <c r="J10" s="23"/>
      <c r="K10" s="23"/>
      <c r="L10" s="23"/>
    </row>
  </sheetData>
  <autoFilter ref="A4:L9" xr:uid="{BFBB6911-7A26-4E3E-BAE2-8944DC244734}"/>
  <pageMargins left="0.511811024" right="0.511811024" top="0.78740157499999996" bottom="0.78740157499999996" header="0.31496062000000002" footer="0.31496062000000002"/>
  <pageSetup paperSize="9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995B-BF3F-4B87-A504-FEEF8EAF692F}">
  <sheetPr>
    <tabColor rgb="FF6F7C8A"/>
    <pageSetUpPr fitToPage="1"/>
  </sheetPr>
  <dimension ref="A1:J12"/>
  <sheetViews>
    <sheetView showGridLines="0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2.75" x14ac:dyDescent="0.2"/>
  <cols>
    <col min="1" max="1" width="32.7109375" customWidth="1"/>
    <col min="2" max="3" width="11.7109375" customWidth="1"/>
    <col min="4" max="4" width="27.7109375" customWidth="1"/>
    <col min="5" max="7" width="15.7109375" customWidth="1"/>
    <col min="8" max="8" width="17.7109375" customWidth="1"/>
    <col min="9" max="9" width="70.7109375" customWidth="1"/>
    <col min="10" max="10" width="50.7109375" customWidth="1"/>
  </cols>
  <sheetData>
    <row r="1" spans="1:10" ht="18" x14ac:dyDescent="0.25">
      <c r="A1" s="1" t="s">
        <v>158</v>
      </c>
    </row>
    <row r="2" spans="1:10" x14ac:dyDescent="0.2">
      <c r="A2" s="2" t="s">
        <v>159</v>
      </c>
    </row>
    <row r="4" spans="1:10" ht="39.950000000000003" customHeight="1" x14ac:dyDescent="0.2">
      <c r="A4" s="4" t="s">
        <v>2</v>
      </c>
      <c r="B4" s="4" t="s">
        <v>3</v>
      </c>
      <c r="C4" s="4" t="s">
        <v>4</v>
      </c>
      <c r="D4" s="4" t="s">
        <v>160</v>
      </c>
      <c r="E4" s="4" t="s">
        <v>126</v>
      </c>
      <c r="F4" s="4" t="s">
        <v>127</v>
      </c>
      <c r="G4" s="4" t="s">
        <v>128</v>
      </c>
      <c r="H4" s="4" t="s">
        <v>129</v>
      </c>
      <c r="I4" s="4" t="s">
        <v>98</v>
      </c>
      <c r="J4" s="4" t="s">
        <v>130</v>
      </c>
    </row>
    <row r="5" spans="1:10" ht="51" x14ac:dyDescent="0.2">
      <c r="A5" s="5" t="s">
        <v>161</v>
      </c>
      <c r="B5" s="6" t="s">
        <v>162</v>
      </c>
      <c r="C5" s="5" t="s">
        <v>21</v>
      </c>
      <c r="D5" s="5" t="s">
        <v>163</v>
      </c>
      <c r="E5" s="7">
        <v>9610</v>
      </c>
      <c r="F5" s="7">
        <v>6317.5</v>
      </c>
      <c r="G5" s="7">
        <f>IF(AND(E5="",F5=""),"",E5+F5)</f>
        <v>15927.5</v>
      </c>
      <c r="H5" s="7">
        <v>15927.5</v>
      </c>
      <c r="I5" s="10" t="s">
        <v>164</v>
      </c>
      <c r="J5" s="10" t="s">
        <v>165</v>
      </c>
    </row>
    <row r="6" spans="1:10" ht="51" x14ac:dyDescent="0.2">
      <c r="A6" s="5" t="s">
        <v>166</v>
      </c>
      <c r="B6" s="6" t="s">
        <v>167</v>
      </c>
      <c r="C6" s="5" t="s">
        <v>21</v>
      </c>
      <c r="D6" s="5" t="s">
        <v>163</v>
      </c>
      <c r="E6" s="7">
        <v>9000</v>
      </c>
      <c r="F6" s="7">
        <v>6000</v>
      </c>
      <c r="G6" s="7">
        <f>IF(AND(E6="",F6=""),"",E6+F6)</f>
        <v>15000</v>
      </c>
      <c r="H6" s="7">
        <v>15000</v>
      </c>
      <c r="I6" s="10" t="s">
        <v>168</v>
      </c>
      <c r="J6" s="10" t="s">
        <v>169</v>
      </c>
    </row>
    <row r="7" spans="1:10" ht="51" x14ac:dyDescent="0.2">
      <c r="A7" s="5" t="s">
        <v>170</v>
      </c>
      <c r="B7" s="6" t="s">
        <v>171</v>
      </c>
      <c r="C7" s="5" t="s">
        <v>21</v>
      </c>
      <c r="D7" s="5" t="s">
        <v>163</v>
      </c>
      <c r="E7" s="7">
        <v>6780.76</v>
      </c>
      <c r="F7" s="7">
        <v>565.1</v>
      </c>
      <c r="G7" s="7">
        <f>IF(AND(E7="",F7=""),"",E7+F7)</f>
        <v>7345.8600000000006</v>
      </c>
      <c r="H7" s="7">
        <v>7345.86</v>
      </c>
      <c r="I7" s="10" t="s">
        <v>172</v>
      </c>
      <c r="J7" s="10" t="s">
        <v>173</v>
      </c>
    </row>
    <row r="8" spans="1:10" ht="51" x14ac:dyDescent="0.2">
      <c r="A8" s="5" t="s">
        <v>174</v>
      </c>
      <c r="B8" s="6" t="s">
        <v>175</v>
      </c>
      <c r="C8" s="5" t="s">
        <v>21</v>
      </c>
      <c r="D8" s="5" t="s">
        <v>176</v>
      </c>
      <c r="E8" s="7">
        <v>14877.45</v>
      </c>
      <c r="F8" s="7">
        <v>1781.06</v>
      </c>
      <c r="G8" s="7">
        <f>IF(AND(E8="",F8=""),"",E8+F8)</f>
        <v>16658.510000000002</v>
      </c>
      <c r="H8" s="7">
        <v>16777.849999999999</v>
      </c>
      <c r="I8" s="10" t="s">
        <v>177</v>
      </c>
      <c r="J8" s="10" t="s">
        <v>178</v>
      </c>
    </row>
    <row r="9" spans="1:10" ht="51" x14ac:dyDescent="0.2">
      <c r="A9" s="5" t="s">
        <v>179</v>
      </c>
      <c r="B9" s="6" t="s">
        <v>180</v>
      </c>
      <c r="C9" s="5" t="s">
        <v>21</v>
      </c>
      <c r="D9" s="5" t="s">
        <v>176</v>
      </c>
      <c r="E9" s="7">
        <v>1474.8</v>
      </c>
      <c r="F9" s="7">
        <v>491.6</v>
      </c>
      <c r="G9" s="7">
        <f>IF(AND(E9="",F9=""),"",E9+F9)</f>
        <v>1966.4</v>
      </c>
      <c r="H9" s="7">
        <v>2458</v>
      </c>
      <c r="I9" s="10" t="s">
        <v>181</v>
      </c>
      <c r="J9" s="10" t="s">
        <v>182</v>
      </c>
    </row>
    <row r="10" spans="1:10" ht="51" x14ac:dyDescent="0.2">
      <c r="A10" s="5" t="s">
        <v>183</v>
      </c>
      <c r="B10" s="6" t="s">
        <v>184</v>
      </c>
      <c r="C10" s="5" t="s">
        <v>21</v>
      </c>
      <c r="D10" s="5" t="s">
        <v>176</v>
      </c>
      <c r="E10" s="7">
        <v>346.02</v>
      </c>
      <c r="F10" s="7">
        <v>355.38</v>
      </c>
      <c r="G10" s="7">
        <f>IF(AND(E10="",F10=""),"",E10+F10)</f>
        <v>701.4</v>
      </c>
      <c r="H10" s="7">
        <v>701.4</v>
      </c>
      <c r="I10" s="10" t="s">
        <v>185</v>
      </c>
      <c r="J10" s="10" t="s">
        <v>186</v>
      </c>
    </row>
    <row r="11" spans="1:10" ht="51" x14ac:dyDescent="0.2">
      <c r="A11" s="28" t="s">
        <v>187</v>
      </c>
      <c r="B11" s="29" t="s">
        <v>188</v>
      </c>
      <c r="C11" s="28" t="s">
        <v>21</v>
      </c>
      <c r="D11" s="28" t="s">
        <v>189</v>
      </c>
      <c r="E11" s="30"/>
      <c r="F11" s="30"/>
      <c r="G11" s="30" t="str">
        <f>IF(AND(E11="",F11=""),"",E11+F11)</f>
        <v/>
      </c>
      <c r="H11" s="30"/>
      <c r="I11" s="31" t="s">
        <v>190</v>
      </c>
      <c r="J11" s="31" t="s">
        <v>191</v>
      </c>
    </row>
    <row r="12" spans="1:10" x14ac:dyDescent="0.2">
      <c r="A12" s="23" t="s">
        <v>192</v>
      </c>
      <c r="B12" s="24"/>
      <c r="C12" s="23"/>
      <c r="D12" s="23"/>
      <c r="E12" s="25">
        <f>SUBTOTAL(9,E5:E11)</f>
        <v>42089.030000000006</v>
      </c>
      <c r="F12" s="25">
        <f>SUBTOTAL(9,F5:F11)</f>
        <v>15510.64</v>
      </c>
      <c r="G12" s="25">
        <f>SUBTOTAL(9,G5:G11)</f>
        <v>57599.670000000006</v>
      </c>
      <c r="H12" s="25">
        <f>SUBTOTAL(9,H5:H11)</f>
        <v>58210.61</v>
      </c>
      <c r="I12" s="23"/>
      <c r="J12" s="23"/>
    </row>
  </sheetData>
  <autoFilter ref="A4:J11" xr:uid="{BFED995B-BF3F-4B87-A504-FEEF8EAF692F}"/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6942-F996-4572-9083-A00BEE73F820}">
  <sheetPr>
    <tabColor rgb="FFA13222"/>
    <pageSetUpPr fitToPage="1"/>
  </sheetPr>
  <dimension ref="A1:M39"/>
  <sheetViews>
    <sheetView showGridLines="0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2.75" x14ac:dyDescent="0.2"/>
  <cols>
    <col min="1" max="1" width="32.7109375" customWidth="1"/>
    <col min="2" max="2" width="20.7109375" customWidth="1"/>
    <col min="3" max="3" width="10.7109375" customWidth="1"/>
    <col min="4" max="4" width="14.7109375" customWidth="1"/>
    <col min="5" max="5" width="28.7109375" customWidth="1"/>
    <col min="6" max="6" width="30.7109375" customWidth="1"/>
    <col min="7" max="7" width="15.7109375" customWidth="1"/>
    <col min="8" max="8" width="13.7109375" customWidth="1"/>
    <col min="9" max="9" width="10.7109375" customWidth="1"/>
    <col min="10" max="11" width="15.7109375" customWidth="1"/>
    <col min="12" max="12" width="70.7109375" customWidth="1"/>
    <col min="13" max="13" width="50.7109375" customWidth="1"/>
  </cols>
  <sheetData>
    <row r="1" spans="1:13" ht="18" x14ac:dyDescent="0.25">
      <c r="A1" s="1" t="s">
        <v>193</v>
      </c>
    </row>
    <row r="2" spans="1:13" x14ac:dyDescent="0.2">
      <c r="A2" s="2" t="s">
        <v>194</v>
      </c>
    </row>
    <row r="4" spans="1:13" ht="39.950000000000003" customHeight="1" x14ac:dyDescent="0.2">
      <c r="A4" s="4" t="s">
        <v>2</v>
      </c>
      <c r="B4" s="4" t="s">
        <v>3</v>
      </c>
      <c r="C4" s="4" t="s">
        <v>195</v>
      </c>
      <c r="D4" s="4" t="s">
        <v>4</v>
      </c>
      <c r="E4" s="4" t="s">
        <v>196</v>
      </c>
      <c r="F4" s="4" t="s">
        <v>5</v>
      </c>
      <c r="G4" s="4" t="s">
        <v>197</v>
      </c>
      <c r="H4" s="4" t="s">
        <v>198</v>
      </c>
      <c r="I4" s="4" t="s">
        <v>199</v>
      </c>
      <c r="J4" s="4" t="s">
        <v>200</v>
      </c>
      <c r="K4" s="4" t="s">
        <v>201</v>
      </c>
      <c r="L4" s="4" t="s">
        <v>98</v>
      </c>
      <c r="M4" s="4" t="s">
        <v>130</v>
      </c>
    </row>
    <row r="5" spans="1:13" ht="63.75" x14ac:dyDescent="0.2">
      <c r="A5" s="5" t="s">
        <v>202</v>
      </c>
      <c r="B5" s="6" t="s">
        <v>203</v>
      </c>
      <c r="C5" s="9">
        <v>2</v>
      </c>
      <c r="D5" s="10" t="s">
        <v>204</v>
      </c>
      <c r="E5" s="10" t="s">
        <v>205</v>
      </c>
      <c r="F5" s="10" t="s">
        <v>206</v>
      </c>
      <c r="G5" s="7">
        <v>5896.12</v>
      </c>
      <c r="H5" s="8">
        <v>46165</v>
      </c>
      <c r="I5" s="9">
        <f>IF(ISNUMBER(H5),Resumo!$C$3-H5,"")</f>
        <v>125</v>
      </c>
      <c r="J5" s="7"/>
      <c r="K5" s="7">
        <v>15000</v>
      </c>
      <c r="L5" s="10" t="s">
        <v>207</v>
      </c>
      <c r="M5" s="10" t="s">
        <v>208</v>
      </c>
    </row>
    <row r="6" spans="1:13" ht="38.25" x14ac:dyDescent="0.2">
      <c r="A6" s="5" t="s">
        <v>209</v>
      </c>
      <c r="B6" s="6" t="s">
        <v>210</v>
      </c>
      <c r="C6" s="9">
        <v>1</v>
      </c>
      <c r="D6" s="10" t="s">
        <v>29</v>
      </c>
      <c r="E6" s="10" t="s">
        <v>211</v>
      </c>
      <c r="F6" s="10" t="s">
        <v>212</v>
      </c>
      <c r="G6" s="7">
        <v>4594.51</v>
      </c>
      <c r="H6" s="8">
        <v>46195</v>
      </c>
      <c r="I6" s="9">
        <f>IF(ISNUMBER(H6),Resumo!$C$3-H6,"")</f>
        <v>95</v>
      </c>
      <c r="J6" s="7"/>
      <c r="K6" s="7"/>
      <c r="L6" s="10" t="s">
        <v>213</v>
      </c>
      <c r="M6" s="10" t="s">
        <v>214</v>
      </c>
    </row>
    <row r="7" spans="1:13" ht="38.25" x14ac:dyDescent="0.2">
      <c r="A7" s="5" t="s">
        <v>215</v>
      </c>
      <c r="B7" s="6" t="s">
        <v>216</v>
      </c>
      <c r="C7" s="9">
        <v>1</v>
      </c>
      <c r="D7" s="10" t="s">
        <v>29</v>
      </c>
      <c r="E7" s="10" t="s">
        <v>217</v>
      </c>
      <c r="F7" s="10" t="s">
        <v>218</v>
      </c>
      <c r="G7" s="7">
        <v>3927.73</v>
      </c>
      <c r="H7" s="8">
        <v>46113</v>
      </c>
      <c r="I7" s="9">
        <f>IF(ISNUMBER(H7),Resumo!$C$3-H7,"")</f>
        <v>177</v>
      </c>
      <c r="J7" s="7"/>
      <c r="K7" s="7"/>
      <c r="L7" s="10" t="s">
        <v>219</v>
      </c>
      <c r="M7" s="10" t="s">
        <v>220</v>
      </c>
    </row>
    <row r="8" spans="1:13" ht="25.5" x14ac:dyDescent="0.2">
      <c r="A8" s="5" t="s">
        <v>221</v>
      </c>
      <c r="B8" s="6" t="s">
        <v>222</v>
      </c>
      <c r="C8" s="9">
        <v>1</v>
      </c>
      <c r="D8" s="10" t="s">
        <v>29</v>
      </c>
      <c r="E8" s="10" t="s">
        <v>223</v>
      </c>
      <c r="F8" s="10" t="s">
        <v>223</v>
      </c>
      <c r="G8" s="7">
        <v>2581.48</v>
      </c>
      <c r="H8" s="8"/>
      <c r="I8" s="9" t="str">
        <f>IF(ISNUMBER(H8),Resumo!$C$3-H8,"")</f>
        <v/>
      </c>
      <c r="J8" s="7"/>
      <c r="K8" s="7"/>
      <c r="L8" s="10" t="s">
        <v>224</v>
      </c>
      <c r="M8" s="10" t="s">
        <v>225</v>
      </c>
    </row>
    <row r="9" spans="1:13" ht="38.25" x14ac:dyDescent="0.2">
      <c r="A9" s="5" t="s">
        <v>226</v>
      </c>
      <c r="B9" s="6" t="s">
        <v>227</v>
      </c>
      <c r="C9" s="9">
        <v>1</v>
      </c>
      <c r="D9" s="10" t="s">
        <v>21</v>
      </c>
      <c r="E9" s="10" t="s">
        <v>223</v>
      </c>
      <c r="F9" s="10" t="s">
        <v>223</v>
      </c>
      <c r="G9" s="7">
        <v>2542.4</v>
      </c>
      <c r="H9" s="8">
        <v>46120</v>
      </c>
      <c r="I9" s="9">
        <f>IF(ISNUMBER(H9),Resumo!$C$3-H9,"")</f>
        <v>170</v>
      </c>
      <c r="J9" s="7">
        <v>12712</v>
      </c>
      <c r="K9" s="7"/>
      <c r="L9" s="10" t="s">
        <v>228</v>
      </c>
      <c r="M9" s="10" t="s">
        <v>229</v>
      </c>
    </row>
    <row r="10" spans="1:13" ht="25.5" x14ac:dyDescent="0.2">
      <c r="A10" s="5" t="s">
        <v>230</v>
      </c>
      <c r="B10" s="6" t="s">
        <v>231</v>
      </c>
      <c r="C10" s="9">
        <v>1</v>
      </c>
      <c r="D10" s="10" t="s">
        <v>21</v>
      </c>
      <c r="E10" s="10" t="s">
        <v>232</v>
      </c>
      <c r="F10" s="10" t="s">
        <v>233</v>
      </c>
      <c r="G10" s="7">
        <v>2217.92</v>
      </c>
      <c r="H10" s="8"/>
      <c r="I10" s="9" t="str">
        <f>IF(ISNUMBER(H10),Resumo!$C$3-H10,"")</f>
        <v/>
      </c>
      <c r="J10" s="7"/>
      <c r="K10" s="7"/>
      <c r="L10" s="10" t="s">
        <v>234</v>
      </c>
      <c r="M10" s="10" t="s">
        <v>235</v>
      </c>
    </row>
    <row r="11" spans="1:13" ht="38.25" x14ac:dyDescent="0.2">
      <c r="A11" s="5" t="s">
        <v>236</v>
      </c>
      <c r="B11" s="6" t="s">
        <v>237</v>
      </c>
      <c r="C11" s="9">
        <v>1</v>
      </c>
      <c r="D11" s="10" t="s">
        <v>29</v>
      </c>
      <c r="E11" s="10" t="s">
        <v>232</v>
      </c>
      <c r="F11" s="10" t="s">
        <v>232</v>
      </c>
      <c r="G11" s="7">
        <v>2144.87</v>
      </c>
      <c r="H11" s="8"/>
      <c r="I11" s="9" t="str">
        <f>IF(ISNUMBER(H11),Resumo!$C$3-H11,"")</f>
        <v/>
      </c>
      <c r="J11" s="7"/>
      <c r="K11" s="7"/>
      <c r="L11" s="10" t="s">
        <v>238</v>
      </c>
      <c r="M11" s="10" t="s">
        <v>239</v>
      </c>
    </row>
    <row r="12" spans="1:13" ht="38.25" x14ac:dyDescent="0.2">
      <c r="A12" s="5" t="s">
        <v>240</v>
      </c>
      <c r="B12" s="6" t="s">
        <v>241</v>
      </c>
      <c r="C12" s="9">
        <v>1</v>
      </c>
      <c r="D12" s="10" t="s">
        <v>21</v>
      </c>
      <c r="E12" s="10" t="s">
        <v>212</v>
      </c>
      <c r="F12" s="10" t="s">
        <v>212</v>
      </c>
      <c r="G12" s="7">
        <v>1950</v>
      </c>
      <c r="H12" s="8">
        <v>46170</v>
      </c>
      <c r="I12" s="9">
        <f>IF(ISNUMBER(H12),Resumo!$C$3-H12,"")</f>
        <v>120</v>
      </c>
      <c r="J12" s="7"/>
      <c r="K12" s="7"/>
      <c r="L12" s="10" t="s">
        <v>242</v>
      </c>
      <c r="M12" s="10" t="s">
        <v>243</v>
      </c>
    </row>
    <row r="13" spans="1:13" ht="38.25" x14ac:dyDescent="0.2">
      <c r="A13" s="5" t="s">
        <v>244</v>
      </c>
      <c r="B13" s="6" t="s">
        <v>245</v>
      </c>
      <c r="C13" s="9">
        <v>1</v>
      </c>
      <c r="D13" s="10" t="s">
        <v>29</v>
      </c>
      <c r="E13" s="10" t="s">
        <v>211</v>
      </c>
      <c r="F13" s="10" t="s">
        <v>246</v>
      </c>
      <c r="G13" s="7">
        <v>1890.33</v>
      </c>
      <c r="H13" s="8">
        <v>45940</v>
      </c>
      <c r="I13" s="9">
        <f>IF(ISNUMBER(H13),Resumo!$C$3-H13,"")</f>
        <v>350</v>
      </c>
      <c r="J13" s="7"/>
      <c r="K13" s="7"/>
      <c r="L13" s="10" t="s">
        <v>247</v>
      </c>
      <c r="M13" s="10" t="s">
        <v>248</v>
      </c>
    </row>
    <row r="14" spans="1:13" ht="51" x14ac:dyDescent="0.2">
      <c r="A14" s="5" t="s">
        <v>249</v>
      </c>
      <c r="B14" s="6" t="s">
        <v>250</v>
      </c>
      <c r="C14" s="9">
        <v>1</v>
      </c>
      <c r="D14" s="10" t="s">
        <v>21</v>
      </c>
      <c r="E14" s="10" t="s">
        <v>212</v>
      </c>
      <c r="F14" s="10" t="s">
        <v>212</v>
      </c>
      <c r="G14" s="7">
        <v>1670.87</v>
      </c>
      <c r="H14" s="8">
        <v>46248</v>
      </c>
      <c r="I14" s="9">
        <f>IF(ISNUMBER(H14),Resumo!$C$3-H14,"")</f>
        <v>42</v>
      </c>
      <c r="J14" s="7"/>
      <c r="K14" s="7"/>
      <c r="L14" s="10" t="s">
        <v>251</v>
      </c>
      <c r="M14" s="10" t="s">
        <v>252</v>
      </c>
    </row>
    <row r="15" spans="1:13" ht="51" x14ac:dyDescent="0.2">
      <c r="A15" s="5" t="s">
        <v>253</v>
      </c>
      <c r="B15" s="6" t="s">
        <v>254</v>
      </c>
      <c r="C15" s="9">
        <v>1</v>
      </c>
      <c r="D15" s="10" t="s">
        <v>29</v>
      </c>
      <c r="E15" s="10" t="s">
        <v>211</v>
      </c>
      <c r="F15" s="10" t="s">
        <v>255</v>
      </c>
      <c r="G15" s="7">
        <v>1654.4</v>
      </c>
      <c r="H15" s="8">
        <v>45992</v>
      </c>
      <c r="I15" s="9">
        <f>IF(ISNUMBER(H15),Resumo!$C$3-H15,"")</f>
        <v>298</v>
      </c>
      <c r="J15" s="7"/>
      <c r="K15" s="7"/>
      <c r="L15" s="10" t="s">
        <v>256</v>
      </c>
      <c r="M15" s="10" t="s">
        <v>257</v>
      </c>
    </row>
    <row r="16" spans="1:13" ht="38.25" x14ac:dyDescent="0.2">
      <c r="A16" s="5" t="s">
        <v>258</v>
      </c>
      <c r="B16" s="6" t="s">
        <v>259</v>
      </c>
      <c r="C16" s="9">
        <v>1</v>
      </c>
      <c r="D16" s="10" t="s">
        <v>29</v>
      </c>
      <c r="E16" s="10" t="s">
        <v>217</v>
      </c>
      <c r="F16" s="10" t="s">
        <v>260</v>
      </c>
      <c r="G16" s="7">
        <v>1597.39</v>
      </c>
      <c r="H16" s="8"/>
      <c r="I16" s="9" t="str">
        <f>IF(ISNUMBER(H16),Resumo!$C$3-H16,"")</f>
        <v/>
      </c>
      <c r="J16" s="7"/>
      <c r="K16" s="7"/>
      <c r="L16" s="10" t="s">
        <v>261</v>
      </c>
      <c r="M16" s="10" t="s">
        <v>262</v>
      </c>
    </row>
    <row r="17" spans="1:13" ht="63.75" x14ac:dyDescent="0.2">
      <c r="A17" s="5" t="s">
        <v>263</v>
      </c>
      <c r="B17" s="6" t="s">
        <v>264</v>
      </c>
      <c r="C17" s="9">
        <v>1</v>
      </c>
      <c r="D17" s="10" t="s">
        <v>21</v>
      </c>
      <c r="E17" s="10" t="s">
        <v>212</v>
      </c>
      <c r="F17" s="10" t="s">
        <v>212</v>
      </c>
      <c r="G17" s="7">
        <v>1580</v>
      </c>
      <c r="H17" s="8">
        <v>46280</v>
      </c>
      <c r="I17" s="9">
        <f>IF(ISNUMBER(H17),Resumo!$C$3-H17,"")</f>
        <v>10</v>
      </c>
      <c r="J17" s="7">
        <v>13859.02</v>
      </c>
      <c r="K17" s="7"/>
      <c r="L17" s="10" t="s">
        <v>265</v>
      </c>
      <c r="M17" s="10" t="s">
        <v>266</v>
      </c>
    </row>
    <row r="18" spans="1:13" ht="63.75" x14ac:dyDescent="0.2">
      <c r="A18" s="5" t="s">
        <v>267</v>
      </c>
      <c r="B18" s="6" t="s">
        <v>268</v>
      </c>
      <c r="C18" s="9">
        <v>1</v>
      </c>
      <c r="D18" s="10" t="s">
        <v>21</v>
      </c>
      <c r="E18" s="10" t="s">
        <v>212</v>
      </c>
      <c r="F18" s="10" t="s">
        <v>212</v>
      </c>
      <c r="G18" s="7">
        <v>1500</v>
      </c>
      <c r="H18" s="8">
        <v>46287</v>
      </c>
      <c r="I18" s="9">
        <f>IF(ISNUMBER(H18),Resumo!$C$3-H18,"")</f>
        <v>3</v>
      </c>
      <c r="J18" s="7">
        <v>9000</v>
      </c>
      <c r="K18" s="7"/>
      <c r="L18" s="10" t="s">
        <v>269</v>
      </c>
      <c r="M18" s="10" t="s">
        <v>270</v>
      </c>
    </row>
    <row r="19" spans="1:13" ht="38.25" x14ac:dyDescent="0.2">
      <c r="A19" s="5" t="s">
        <v>271</v>
      </c>
      <c r="B19" s="6" t="s">
        <v>272</v>
      </c>
      <c r="C19" s="9">
        <v>1</v>
      </c>
      <c r="D19" s="10" t="s">
        <v>21</v>
      </c>
      <c r="E19" s="10" t="s">
        <v>217</v>
      </c>
      <c r="F19" s="10" t="s">
        <v>273</v>
      </c>
      <c r="G19" s="7">
        <v>1422.9</v>
      </c>
      <c r="H19" s="8"/>
      <c r="I19" s="9" t="str">
        <f>IF(ISNUMBER(H19),Resumo!$C$3-H19,"")</f>
        <v/>
      </c>
      <c r="J19" s="7"/>
      <c r="K19" s="7"/>
      <c r="L19" s="10" t="s">
        <v>274</v>
      </c>
      <c r="M19" s="10" t="s">
        <v>275</v>
      </c>
    </row>
    <row r="20" spans="1:13" ht="38.25" x14ac:dyDescent="0.2">
      <c r="A20" s="5" t="s">
        <v>276</v>
      </c>
      <c r="B20" s="6" t="s">
        <v>277</v>
      </c>
      <c r="C20" s="9">
        <v>1</v>
      </c>
      <c r="D20" s="10" t="s">
        <v>21</v>
      </c>
      <c r="E20" s="10" t="s">
        <v>223</v>
      </c>
      <c r="F20" s="10" t="s">
        <v>223</v>
      </c>
      <c r="G20" s="7">
        <v>1202.27</v>
      </c>
      <c r="H20" s="8">
        <v>46174</v>
      </c>
      <c r="I20" s="9">
        <f>IF(ISNUMBER(H20),Resumo!$C$3-H20,"")</f>
        <v>116</v>
      </c>
      <c r="J20" s="7"/>
      <c r="K20" s="7"/>
      <c r="L20" s="10" t="s">
        <v>278</v>
      </c>
      <c r="M20" s="10" t="s">
        <v>279</v>
      </c>
    </row>
    <row r="21" spans="1:13" ht="38.25" x14ac:dyDescent="0.2">
      <c r="A21" s="5" t="s">
        <v>280</v>
      </c>
      <c r="B21" s="6" t="s">
        <v>281</v>
      </c>
      <c r="C21" s="9">
        <v>1</v>
      </c>
      <c r="D21" s="10" t="s">
        <v>282</v>
      </c>
      <c r="E21" s="10" t="s">
        <v>232</v>
      </c>
      <c r="F21" s="10" t="s">
        <v>233</v>
      </c>
      <c r="G21" s="7">
        <v>1201.6199999999999</v>
      </c>
      <c r="H21" s="8"/>
      <c r="I21" s="9" t="str">
        <f>IF(ISNUMBER(H21),Resumo!$C$3-H21,"")</f>
        <v/>
      </c>
      <c r="J21" s="7"/>
      <c r="K21" s="7"/>
      <c r="L21" s="10" t="s">
        <v>283</v>
      </c>
      <c r="M21" s="10" t="s">
        <v>284</v>
      </c>
    </row>
    <row r="22" spans="1:13" ht="25.5" x14ac:dyDescent="0.2">
      <c r="A22" s="5" t="s">
        <v>285</v>
      </c>
      <c r="B22" s="6" t="s">
        <v>286</v>
      </c>
      <c r="C22" s="9">
        <v>1</v>
      </c>
      <c r="D22" s="10" t="s">
        <v>21</v>
      </c>
      <c r="E22" s="10" t="s">
        <v>211</v>
      </c>
      <c r="F22" s="10" t="s">
        <v>255</v>
      </c>
      <c r="G22" s="7">
        <v>1200</v>
      </c>
      <c r="H22" s="8"/>
      <c r="I22" s="9" t="str">
        <f>IF(ISNUMBER(H22),Resumo!$C$3-H22,"")</f>
        <v/>
      </c>
      <c r="J22" s="7"/>
      <c r="K22" s="7"/>
      <c r="L22" s="10" t="s">
        <v>287</v>
      </c>
      <c r="M22" s="10" t="s">
        <v>288</v>
      </c>
    </row>
    <row r="23" spans="1:13" ht="25.5" x14ac:dyDescent="0.2">
      <c r="A23" s="5" t="s">
        <v>289</v>
      </c>
      <c r="B23" s="6" t="s">
        <v>290</v>
      </c>
      <c r="C23" s="9">
        <v>1</v>
      </c>
      <c r="D23" s="10" t="s">
        <v>21</v>
      </c>
      <c r="E23" s="10" t="s">
        <v>205</v>
      </c>
      <c r="F23" s="10" t="s">
        <v>291</v>
      </c>
      <c r="G23" s="7">
        <v>950</v>
      </c>
      <c r="H23" s="8"/>
      <c r="I23" s="9" t="str">
        <f>IF(ISNUMBER(H23),Resumo!$C$3-H23,"")</f>
        <v/>
      </c>
      <c r="J23" s="7"/>
      <c r="K23" s="7"/>
      <c r="L23" s="10" t="s">
        <v>292</v>
      </c>
      <c r="M23" s="10" t="s">
        <v>293</v>
      </c>
    </row>
    <row r="24" spans="1:13" ht="38.25" x14ac:dyDescent="0.2">
      <c r="A24" s="5" t="s">
        <v>294</v>
      </c>
      <c r="B24" s="6" t="s">
        <v>295</v>
      </c>
      <c r="C24" s="9">
        <v>1</v>
      </c>
      <c r="D24" s="10" t="s">
        <v>21</v>
      </c>
      <c r="E24" s="10" t="s">
        <v>296</v>
      </c>
      <c r="F24" s="10" t="s">
        <v>297</v>
      </c>
      <c r="G24" s="7">
        <v>924.66</v>
      </c>
      <c r="H24" s="8"/>
      <c r="I24" s="9" t="str">
        <f>IF(ISNUMBER(H24),Resumo!$C$3-H24,"")</f>
        <v/>
      </c>
      <c r="J24" s="7"/>
      <c r="K24" s="7"/>
      <c r="L24" s="10" t="s">
        <v>298</v>
      </c>
      <c r="M24" s="10" t="s">
        <v>299</v>
      </c>
    </row>
    <row r="25" spans="1:13" ht="25.5" x14ac:dyDescent="0.2">
      <c r="A25" s="5" t="s">
        <v>300</v>
      </c>
      <c r="B25" s="6" t="s">
        <v>301</v>
      </c>
      <c r="C25" s="9">
        <v>1</v>
      </c>
      <c r="D25" s="10" t="s">
        <v>21</v>
      </c>
      <c r="E25" s="10" t="s">
        <v>232</v>
      </c>
      <c r="F25" s="10" t="s">
        <v>232</v>
      </c>
      <c r="G25" s="7">
        <v>896</v>
      </c>
      <c r="H25" s="8"/>
      <c r="I25" s="9" t="str">
        <f>IF(ISNUMBER(H25),Resumo!$C$3-H25,"")</f>
        <v/>
      </c>
      <c r="J25" s="7"/>
      <c r="K25" s="7"/>
      <c r="L25" s="10" t="s">
        <v>302</v>
      </c>
      <c r="M25" s="10" t="s">
        <v>303</v>
      </c>
    </row>
    <row r="26" spans="1:13" ht="38.25" x14ac:dyDescent="0.2">
      <c r="A26" s="5" t="s">
        <v>304</v>
      </c>
      <c r="B26" s="6" t="s">
        <v>305</v>
      </c>
      <c r="C26" s="9">
        <v>1</v>
      </c>
      <c r="D26" s="10" t="s">
        <v>21</v>
      </c>
      <c r="E26" s="10" t="s">
        <v>211</v>
      </c>
      <c r="F26" s="10" t="s">
        <v>255</v>
      </c>
      <c r="G26" s="7">
        <v>780.82</v>
      </c>
      <c r="H26" s="8"/>
      <c r="I26" s="9" t="str">
        <f>IF(ISNUMBER(H26),Resumo!$C$3-H26,"")</f>
        <v/>
      </c>
      <c r="J26" s="7"/>
      <c r="K26" s="7"/>
      <c r="L26" s="10" t="s">
        <v>306</v>
      </c>
      <c r="M26" s="10" t="s">
        <v>307</v>
      </c>
    </row>
    <row r="27" spans="1:13" ht="25.5" x14ac:dyDescent="0.2">
      <c r="A27" s="5" t="s">
        <v>308</v>
      </c>
      <c r="B27" s="6" t="s">
        <v>309</v>
      </c>
      <c r="C27" s="9">
        <v>1</v>
      </c>
      <c r="D27" s="10" t="s">
        <v>21</v>
      </c>
      <c r="E27" s="10" t="s">
        <v>217</v>
      </c>
      <c r="F27" s="10" t="s">
        <v>310</v>
      </c>
      <c r="G27" s="7">
        <v>702.06</v>
      </c>
      <c r="H27" s="8"/>
      <c r="I27" s="9" t="str">
        <f>IF(ISNUMBER(H27),Resumo!$C$3-H27,"")</f>
        <v/>
      </c>
      <c r="J27" s="7"/>
      <c r="K27" s="7"/>
      <c r="L27" s="10" t="s">
        <v>311</v>
      </c>
      <c r="M27" s="10" t="s">
        <v>312</v>
      </c>
    </row>
    <row r="28" spans="1:13" ht="38.25" x14ac:dyDescent="0.2">
      <c r="A28" s="5" t="s">
        <v>313</v>
      </c>
      <c r="B28" s="6" t="s">
        <v>314</v>
      </c>
      <c r="C28" s="9">
        <v>1</v>
      </c>
      <c r="D28" s="10" t="s">
        <v>21</v>
      </c>
      <c r="E28" s="10" t="s">
        <v>205</v>
      </c>
      <c r="F28" s="10" t="s">
        <v>315</v>
      </c>
      <c r="G28" s="7">
        <v>700</v>
      </c>
      <c r="H28" s="32" t="s">
        <v>316</v>
      </c>
      <c r="I28" s="9" t="str">
        <f>IF(ISNUMBER(H28),Resumo!$C$3-H28,"")</f>
        <v/>
      </c>
      <c r="J28" s="7"/>
      <c r="K28" s="7"/>
      <c r="L28" s="10" t="s">
        <v>317</v>
      </c>
      <c r="M28" s="10" t="s">
        <v>318</v>
      </c>
    </row>
    <row r="29" spans="1:13" ht="38.25" x14ac:dyDescent="0.2">
      <c r="A29" s="5" t="s">
        <v>319</v>
      </c>
      <c r="B29" s="6" t="s">
        <v>320</v>
      </c>
      <c r="C29" s="9">
        <v>1</v>
      </c>
      <c r="D29" s="10" t="s">
        <v>21</v>
      </c>
      <c r="E29" s="10" t="s">
        <v>296</v>
      </c>
      <c r="F29" s="10" t="s">
        <v>321</v>
      </c>
      <c r="G29" s="7">
        <v>590</v>
      </c>
      <c r="H29" s="32" t="s">
        <v>322</v>
      </c>
      <c r="I29" s="9" t="str">
        <f>IF(ISNUMBER(H29),Resumo!$C$3-H29,"")</f>
        <v/>
      </c>
      <c r="J29" s="7"/>
      <c r="K29" s="7"/>
      <c r="L29" s="10" t="s">
        <v>323</v>
      </c>
      <c r="M29" s="10" t="s">
        <v>324</v>
      </c>
    </row>
    <row r="30" spans="1:13" ht="38.25" x14ac:dyDescent="0.2">
      <c r="A30" s="5" t="s">
        <v>325</v>
      </c>
      <c r="B30" s="6" t="s">
        <v>326</v>
      </c>
      <c r="C30" s="9">
        <v>1</v>
      </c>
      <c r="D30" s="10" t="s">
        <v>21</v>
      </c>
      <c r="E30" s="10" t="s">
        <v>232</v>
      </c>
      <c r="F30" s="10" t="s">
        <v>233</v>
      </c>
      <c r="G30" s="7">
        <v>550</v>
      </c>
      <c r="H30" s="8"/>
      <c r="I30" s="9" t="str">
        <f>IF(ISNUMBER(H30),Resumo!$C$3-H30,"")</f>
        <v/>
      </c>
      <c r="J30" s="7"/>
      <c r="K30" s="7"/>
      <c r="L30" s="10" t="s">
        <v>327</v>
      </c>
      <c r="M30" s="10" t="s">
        <v>328</v>
      </c>
    </row>
    <row r="31" spans="1:13" ht="38.25" x14ac:dyDescent="0.2">
      <c r="A31" s="5" t="s">
        <v>329</v>
      </c>
      <c r="B31" s="6" t="s">
        <v>330</v>
      </c>
      <c r="C31" s="9">
        <v>1</v>
      </c>
      <c r="D31" s="10" t="s">
        <v>21</v>
      </c>
      <c r="E31" s="10" t="s">
        <v>205</v>
      </c>
      <c r="F31" s="10" t="s">
        <v>331</v>
      </c>
      <c r="G31" s="7">
        <v>549.62</v>
      </c>
      <c r="H31" s="8">
        <v>46262</v>
      </c>
      <c r="I31" s="9">
        <f>IF(ISNUMBER(H31),Resumo!$C$3-H31,"")</f>
        <v>28</v>
      </c>
      <c r="J31" s="7"/>
      <c r="K31" s="7"/>
      <c r="L31" s="10" t="s">
        <v>332</v>
      </c>
      <c r="M31" s="10" t="s">
        <v>333</v>
      </c>
    </row>
    <row r="32" spans="1:13" ht="25.5" x14ac:dyDescent="0.2">
      <c r="A32" s="5" t="s">
        <v>334</v>
      </c>
      <c r="B32" s="6" t="s">
        <v>335</v>
      </c>
      <c r="C32" s="9">
        <v>1</v>
      </c>
      <c r="D32" s="10" t="s">
        <v>21</v>
      </c>
      <c r="E32" s="10" t="s">
        <v>217</v>
      </c>
      <c r="F32" s="10" t="s">
        <v>218</v>
      </c>
      <c r="G32" s="7">
        <v>528.11</v>
      </c>
      <c r="H32" s="8"/>
      <c r="I32" s="9" t="str">
        <f>IF(ISNUMBER(H32),Resumo!$C$3-H32,"")</f>
        <v/>
      </c>
      <c r="J32" s="7"/>
      <c r="K32" s="7"/>
      <c r="L32" s="10" t="s">
        <v>336</v>
      </c>
      <c r="M32" s="10" t="s">
        <v>337</v>
      </c>
    </row>
    <row r="33" spans="1:13" ht="25.5" x14ac:dyDescent="0.2">
      <c r="A33" s="5" t="s">
        <v>338</v>
      </c>
      <c r="B33" s="6" t="s">
        <v>339</v>
      </c>
      <c r="C33" s="9">
        <v>1</v>
      </c>
      <c r="D33" s="10" t="s">
        <v>21</v>
      </c>
      <c r="E33" s="10" t="s">
        <v>217</v>
      </c>
      <c r="F33" s="10" t="s">
        <v>340</v>
      </c>
      <c r="G33" s="7">
        <v>500</v>
      </c>
      <c r="H33" s="8"/>
      <c r="I33" s="9" t="str">
        <f>IF(ISNUMBER(H33),Resumo!$C$3-H33,"")</f>
        <v/>
      </c>
      <c r="J33" s="7"/>
      <c r="K33" s="7"/>
      <c r="L33" s="10" t="s">
        <v>341</v>
      </c>
      <c r="M33" s="10" t="s">
        <v>342</v>
      </c>
    </row>
    <row r="34" spans="1:13" ht="51" x14ac:dyDescent="0.2">
      <c r="A34" s="5" t="s">
        <v>343</v>
      </c>
      <c r="B34" s="6" t="s">
        <v>344</v>
      </c>
      <c r="C34" s="9">
        <v>1</v>
      </c>
      <c r="D34" s="10" t="s">
        <v>21</v>
      </c>
      <c r="E34" s="10" t="s">
        <v>296</v>
      </c>
      <c r="F34" s="10" t="s">
        <v>345</v>
      </c>
      <c r="G34" s="7">
        <v>423.01</v>
      </c>
      <c r="H34" s="8"/>
      <c r="I34" s="9" t="str">
        <f>IF(ISNUMBER(H34),Resumo!$C$3-H34,"")</f>
        <v/>
      </c>
      <c r="J34" s="7">
        <v>1678.29</v>
      </c>
      <c r="K34" s="7"/>
      <c r="L34" s="10" t="s">
        <v>346</v>
      </c>
      <c r="M34" s="10" t="s">
        <v>347</v>
      </c>
    </row>
    <row r="35" spans="1:13" ht="38.25" x14ac:dyDescent="0.2">
      <c r="A35" s="5" t="s">
        <v>348</v>
      </c>
      <c r="B35" s="6" t="s">
        <v>349</v>
      </c>
      <c r="C35" s="9">
        <v>1</v>
      </c>
      <c r="D35" s="10" t="s">
        <v>21</v>
      </c>
      <c r="E35" s="10" t="s">
        <v>296</v>
      </c>
      <c r="F35" s="10" t="s">
        <v>321</v>
      </c>
      <c r="G35" s="7">
        <v>422.4</v>
      </c>
      <c r="H35" s="8"/>
      <c r="I35" s="9" t="str">
        <f>IF(ISNUMBER(H35),Resumo!$C$3-H35,"")</f>
        <v/>
      </c>
      <c r="J35" s="7"/>
      <c r="K35" s="7"/>
      <c r="L35" s="10" t="s">
        <v>350</v>
      </c>
      <c r="M35" s="10" t="s">
        <v>351</v>
      </c>
    </row>
    <row r="36" spans="1:13" ht="38.25" x14ac:dyDescent="0.2">
      <c r="A36" s="5" t="s">
        <v>352</v>
      </c>
      <c r="B36" s="6" t="s">
        <v>353</v>
      </c>
      <c r="C36" s="9">
        <v>1</v>
      </c>
      <c r="D36" s="10" t="s">
        <v>21</v>
      </c>
      <c r="E36" s="10" t="s">
        <v>232</v>
      </c>
      <c r="F36" s="10" t="s">
        <v>233</v>
      </c>
      <c r="G36" s="7">
        <v>410.95</v>
      </c>
      <c r="H36" s="8"/>
      <c r="I36" s="9" t="str">
        <f>IF(ISNUMBER(H36),Resumo!$C$3-H36,"")</f>
        <v/>
      </c>
      <c r="J36" s="7"/>
      <c r="K36" s="7"/>
      <c r="L36" s="10" t="s">
        <v>354</v>
      </c>
      <c r="M36" s="10" t="s">
        <v>355</v>
      </c>
    </row>
    <row r="37" spans="1:13" ht="25.5" x14ac:dyDescent="0.2">
      <c r="A37" s="5" t="s">
        <v>356</v>
      </c>
      <c r="B37" s="6" t="s">
        <v>357</v>
      </c>
      <c r="C37" s="9">
        <v>1</v>
      </c>
      <c r="D37" s="10" t="s">
        <v>21</v>
      </c>
      <c r="E37" s="10" t="s">
        <v>296</v>
      </c>
      <c r="F37" s="10" t="s">
        <v>358</v>
      </c>
      <c r="G37" s="7">
        <v>235.2</v>
      </c>
      <c r="H37" s="8"/>
      <c r="I37" s="9" t="str">
        <f>IF(ISNUMBER(H37),Resumo!$C$3-H37,"")</f>
        <v/>
      </c>
      <c r="J37" s="7"/>
      <c r="K37" s="7"/>
      <c r="L37" s="10" t="s">
        <v>359</v>
      </c>
      <c r="M37" s="10" t="s">
        <v>360</v>
      </c>
    </row>
    <row r="38" spans="1:13" ht="38.25" x14ac:dyDescent="0.2">
      <c r="A38" s="17" t="s">
        <v>361</v>
      </c>
      <c r="B38" s="18" t="s">
        <v>362</v>
      </c>
      <c r="C38" s="21">
        <v>1</v>
      </c>
      <c r="D38" s="22" t="s">
        <v>29</v>
      </c>
      <c r="E38" s="22" t="s">
        <v>296</v>
      </c>
      <c r="F38" s="22" t="s">
        <v>363</v>
      </c>
      <c r="G38" s="19"/>
      <c r="H38" s="20"/>
      <c r="I38" s="21" t="str">
        <f>IF(ISNUMBER(H38),Resumo!$C$3-H38,"")</f>
        <v/>
      </c>
      <c r="J38" s="19"/>
      <c r="K38" s="19"/>
      <c r="L38" s="22" t="s">
        <v>364</v>
      </c>
      <c r="M38" s="22" t="s">
        <v>365</v>
      </c>
    </row>
    <row r="39" spans="1:13" x14ac:dyDescent="0.2">
      <c r="A39" s="23" t="s">
        <v>91</v>
      </c>
      <c r="B39" s="24"/>
      <c r="C39" s="27">
        <f>SUBTOTAL(9,C5:C38)</f>
        <v>35</v>
      </c>
      <c r="D39" s="23"/>
      <c r="E39" s="23"/>
      <c r="F39" s="23"/>
      <c r="G39" s="25">
        <f>SUBTOTAL(9,G5:G38)</f>
        <v>49937.640000000007</v>
      </c>
      <c r="H39" s="26"/>
      <c r="I39" s="27"/>
      <c r="J39" s="25">
        <f>SUBTOTAL(9,J5:J38)</f>
        <v>37249.310000000005</v>
      </c>
      <c r="K39" s="25">
        <f>SUBTOTAL(9,K5:K38)</f>
        <v>15000</v>
      </c>
      <c r="L39" s="23"/>
      <c r="M39" s="23"/>
    </row>
  </sheetData>
  <autoFilter ref="A4:M38" xr:uid="{DF4D6942-F996-4572-9083-A00BEE73F820}"/>
  <pageMargins left="0.511811024" right="0.511811024" top="0.78740157499999996" bottom="0.78740157499999996" header="0.31496062000000002" footer="0.31496062000000002"/>
  <pageSetup paperSize="9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E8C9-6271-428C-8A03-3B5E1DFFBC7D}">
  <sheetPr>
    <tabColor rgb="FF6F7C8A"/>
    <pageSetUpPr fitToPage="1"/>
  </sheetPr>
  <dimension ref="A1:G12"/>
  <sheetViews>
    <sheetView showGridLines="0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2.75" x14ac:dyDescent="0.2"/>
  <cols>
    <col min="1" max="1" width="36.7109375" customWidth="1"/>
    <col min="2" max="2" width="11.7109375" customWidth="1"/>
    <col min="3" max="3" width="13.7109375" customWidth="1"/>
    <col min="4" max="4" width="30.7109375" customWidth="1"/>
    <col min="5" max="5" width="15.7109375" customWidth="1"/>
    <col min="6" max="6" width="70.7109375" customWidth="1"/>
    <col min="7" max="7" width="50.7109375" customWidth="1"/>
  </cols>
  <sheetData>
    <row r="1" spans="1:7" ht="18" x14ac:dyDescent="0.25">
      <c r="A1" s="1" t="s">
        <v>366</v>
      </c>
    </row>
    <row r="2" spans="1:7" x14ac:dyDescent="0.2">
      <c r="A2" s="2" t="s">
        <v>367</v>
      </c>
    </row>
    <row r="4" spans="1:7" ht="39.950000000000003" customHeight="1" x14ac:dyDescent="0.2">
      <c r="A4" s="4" t="s">
        <v>2</v>
      </c>
      <c r="B4" s="4" t="s">
        <v>3</v>
      </c>
      <c r="C4" s="4" t="s">
        <v>4</v>
      </c>
      <c r="D4" s="4" t="s">
        <v>368</v>
      </c>
      <c r="E4" s="4" t="s">
        <v>125</v>
      </c>
      <c r="F4" s="4" t="s">
        <v>98</v>
      </c>
      <c r="G4" s="4" t="s">
        <v>130</v>
      </c>
    </row>
    <row r="5" spans="1:7" ht="38.25" x14ac:dyDescent="0.2">
      <c r="A5" s="5" t="s">
        <v>369</v>
      </c>
      <c r="B5" s="6" t="s">
        <v>370</v>
      </c>
      <c r="C5" s="5" t="s">
        <v>21</v>
      </c>
      <c r="D5" s="5" t="s">
        <v>371</v>
      </c>
      <c r="E5" s="7">
        <v>5946.19</v>
      </c>
      <c r="F5" s="10" t="s">
        <v>372</v>
      </c>
      <c r="G5" s="10" t="s">
        <v>373</v>
      </c>
    </row>
    <row r="6" spans="1:7" ht="25.5" x14ac:dyDescent="0.2">
      <c r="A6" s="5" t="s">
        <v>374</v>
      </c>
      <c r="B6" s="6" t="s">
        <v>375</v>
      </c>
      <c r="C6" s="5" t="s">
        <v>21</v>
      </c>
      <c r="D6" s="5" t="s">
        <v>371</v>
      </c>
      <c r="E6" s="7">
        <v>936.91</v>
      </c>
      <c r="F6" s="10" t="s">
        <v>376</v>
      </c>
      <c r="G6" s="10" t="s">
        <v>377</v>
      </c>
    </row>
    <row r="7" spans="1:7" ht="38.25" x14ac:dyDescent="0.2">
      <c r="A7" s="5" t="s">
        <v>378</v>
      </c>
      <c r="B7" s="6" t="s">
        <v>379</v>
      </c>
      <c r="C7" s="5" t="s">
        <v>21</v>
      </c>
      <c r="D7" s="5" t="s">
        <v>371</v>
      </c>
      <c r="E7" s="7">
        <v>493.08</v>
      </c>
      <c r="F7" s="10" t="s">
        <v>380</v>
      </c>
      <c r="G7" s="10" t="s">
        <v>381</v>
      </c>
    </row>
    <row r="8" spans="1:7" ht="38.25" x14ac:dyDescent="0.2">
      <c r="A8" s="5" t="s">
        <v>382</v>
      </c>
      <c r="B8" s="6" t="s">
        <v>383</v>
      </c>
      <c r="C8" s="5" t="s">
        <v>21</v>
      </c>
      <c r="D8" s="5" t="s">
        <v>384</v>
      </c>
      <c r="E8" s="7">
        <v>419.25</v>
      </c>
      <c r="F8" s="10" t="s">
        <v>385</v>
      </c>
      <c r="G8" s="10" t="s">
        <v>386</v>
      </c>
    </row>
    <row r="9" spans="1:7" ht="38.25" x14ac:dyDescent="0.2">
      <c r="A9" s="5" t="s">
        <v>387</v>
      </c>
      <c r="B9" s="6" t="s">
        <v>388</v>
      </c>
      <c r="C9" s="5" t="s">
        <v>21</v>
      </c>
      <c r="D9" s="5" t="s">
        <v>389</v>
      </c>
      <c r="E9" s="7">
        <v>408.28</v>
      </c>
      <c r="F9" s="10" t="s">
        <v>390</v>
      </c>
      <c r="G9" s="10" t="s">
        <v>391</v>
      </c>
    </row>
    <row r="10" spans="1:7" ht="51" x14ac:dyDescent="0.2">
      <c r="A10" s="5" t="s">
        <v>392</v>
      </c>
      <c r="B10" s="6" t="s">
        <v>393</v>
      </c>
      <c r="C10" s="5" t="s">
        <v>21</v>
      </c>
      <c r="D10" s="5" t="s">
        <v>394</v>
      </c>
      <c r="E10" s="7">
        <v>312.52</v>
      </c>
      <c r="F10" s="10" t="s">
        <v>395</v>
      </c>
      <c r="G10" s="10" t="s">
        <v>396</v>
      </c>
    </row>
    <row r="11" spans="1:7" ht="25.5" x14ac:dyDescent="0.2">
      <c r="A11" s="17" t="s">
        <v>397</v>
      </c>
      <c r="B11" s="18" t="s">
        <v>398</v>
      </c>
      <c r="C11" s="17" t="s">
        <v>29</v>
      </c>
      <c r="D11" s="17" t="s">
        <v>399</v>
      </c>
      <c r="E11" s="19"/>
      <c r="F11" s="22" t="s">
        <v>400</v>
      </c>
      <c r="G11" s="22" t="s">
        <v>401</v>
      </c>
    </row>
    <row r="12" spans="1:7" x14ac:dyDescent="0.2">
      <c r="A12" s="23" t="s">
        <v>91</v>
      </c>
      <c r="B12" s="24"/>
      <c r="C12" s="23"/>
      <c r="D12" s="23"/>
      <c r="E12" s="25">
        <f>SUBTOTAL(9,E5:E11)</f>
        <v>8516.23</v>
      </c>
      <c r="F12" s="23"/>
      <c r="G12" s="23"/>
    </row>
  </sheetData>
  <autoFilter ref="A4:G11" xr:uid="{7284E8C9-6271-428C-8A03-3B5E1DFFBC7D}"/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BDBF-FC28-40F7-804B-6038ECB72ADF}">
  <sheetPr>
    <tabColor rgb="FF2B63D1"/>
    <pageSetUpPr fitToPage="1"/>
  </sheetPr>
  <dimension ref="A1:G16"/>
  <sheetViews>
    <sheetView showGridLines="0" workbookViewId="0">
      <pane xSplit="1" ySplit="11" topLeftCell="B12" activePane="bottomRight" state="frozenSplit"/>
      <selection pane="topRight" activeCell="B1" sqref="B1"/>
      <selection pane="bottomLeft" activeCell="A12" sqref="A12"/>
      <selection pane="bottomRight"/>
    </sheetView>
  </sheetViews>
  <sheetFormatPr defaultRowHeight="12.75" x14ac:dyDescent="0.2"/>
  <cols>
    <col min="1" max="1" width="32.7109375" customWidth="1"/>
    <col min="2" max="2" width="11.7109375" customWidth="1"/>
    <col min="3" max="3" width="28.7109375" customWidth="1"/>
    <col min="4" max="4" width="16.7109375" customWidth="1"/>
    <col min="5" max="5" width="13.7109375" customWidth="1"/>
    <col min="6" max="6" width="55.7109375" customWidth="1"/>
    <col min="7" max="7" width="50.7109375" customWidth="1"/>
  </cols>
  <sheetData>
    <row r="1" spans="1:7" ht="18" x14ac:dyDescent="0.25">
      <c r="A1" s="1" t="s">
        <v>402</v>
      </c>
    </row>
    <row r="2" spans="1:7" x14ac:dyDescent="0.2">
      <c r="A2" s="2" t="s">
        <v>403</v>
      </c>
    </row>
    <row r="4" spans="1:7" x14ac:dyDescent="0.2">
      <c r="A4" s="3" t="s">
        <v>404</v>
      </c>
    </row>
    <row r="5" spans="1:7" x14ac:dyDescent="0.2">
      <c r="A5" s="33" t="s">
        <v>405</v>
      </c>
    </row>
    <row r="6" spans="1:7" x14ac:dyDescent="0.2">
      <c r="A6" s="33" t="s">
        <v>406</v>
      </c>
    </row>
    <row r="7" spans="1:7" x14ac:dyDescent="0.2">
      <c r="A7" s="33" t="s">
        <v>407</v>
      </c>
    </row>
    <row r="8" spans="1:7" x14ac:dyDescent="0.2">
      <c r="A8" s="33" t="s">
        <v>408</v>
      </c>
    </row>
    <row r="9" spans="1:7" x14ac:dyDescent="0.2">
      <c r="A9" s="33" t="s">
        <v>409</v>
      </c>
    </row>
    <row r="11" spans="1:7" ht="39.950000000000003" customHeight="1" x14ac:dyDescent="0.2">
      <c r="A11" s="4" t="s">
        <v>2</v>
      </c>
      <c r="B11" s="4" t="s">
        <v>3</v>
      </c>
      <c r="C11" s="4" t="s">
        <v>5</v>
      </c>
      <c r="D11" s="4" t="s">
        <v>410</v>
      </c>
      <c r="E11" s="4" t="s">
        <v>94</v>
      </c>
      <c r="F11" s="4" t="s">
        <v>411</v>
      </c>
      <c r="G11" s="4" t="s">
        <v>98</v>
      </c>
    </row>
    <row r="12" spans="1:7" ht="25.5" x14ac:dyDescent="0.2">
      <c r="A12" s="5" t="s">
        <v>32</v>
      </c>
      <c r="B12" s="6" t="s">
        <v>33</v>
      </c>
      <c r="C12" s="5" t="s">
        <v>412</v>
      </c>
      <c r="D12" s="7">
        <v>13521.08</v>
      </c>
      <c r="E12" s="8">
        <v>46476</v>
      </c>
      <c r="F12" s="10" t="s">
        <v>413</v>
      </c>
      <c r="G12" s="10" t="s">
        <v>109</v>
      </c>
    </row>
    <row r="13" spans="1:7" ht="25.5" x14ac:dyDescent="0.2">
      <c r="A13" s="5" t="s">
        <v>142</v>
      </c>
      <c r="B13" s="6" t="s">
        <v>143</v>
      </c>
      <c r="C13" s="5" t="s">
        <v>145</v>
      </c>
      <c r="D13" s="7">
        <v>35736.480000000003</v>
      </c>
      <c r="E13" s="8">
        <v>46476</v>
      </c>
      <c r="F13" s="10" t="s">
        <v>414</v>
      </c>
      <c r="G13" s="10" t="s">
        <v>415</v>
      </c>
    </row>
    <row r="14" spans="1:7" x14ac:dyDescent="0.2">
      <c r="A14" s="5" t="s">
        <v>137</v>
      </c>
      <c r="B14" s="6" t="s">
        <v>138</v>
      </c>
      <c r="C14" s="5" t="s">
        <v>134</v>
      </c>
      <c r="D14" s="7">
        <v>43792.2</v>
      </c>
      <c r="E14" s="8"/>
      <c r="F14" s="10" t="s">
        <v>416</v>
      </c>
      <c r="G14" s="10" t="s">
        <v>417</v>
      </c>
    </row>
    <row r="15" spans="1:7" x14ac:dyDescent="0.2">
      <c r="A15" s="5" t="s">
        <v>131</v>
      </c>
      <c r="B15" s="6" t="s">
        <v>132</v>
      </c>
      <c r="C15" s="5" t="s">
        <v>134</v>
      </c>
      <c r="D15" s="7">
        <v>58075.29</v>
      </c>
      <c r="E15" s="8"/>
      <c r="F15" s="10" t="s">
        <v>418</v>
      </c>
      <c r="G15" s="10" t="s">
        <v>419</v>
      </c>
    </row>
    <row r="16" spans="1:7" x14ac:dyDescent="0.2">
      <c r="A16" s="5" t="s">
        <v>153</v>
      </c>
      <c r="B16" s="6" t="s">
        <v>154</v>
      </c>
      <c r="C16" s="5" t="s">
        <v>420</v>
      </c>
      <c r="D16" s="7">
        <v>4955.97</v>
      </c>
      <c r="E16" s="8"/>
      <c r="F16" s="10" t="s">
        <v>421</v>
      </c>
      <c r="G16" s="10" t="s">
        <v>419</v>
      </c>
    </row>
  </sheetData>
  <autoFilter ref="A11:G16" xr:uid="{846BBDBF-FC28-40F7-804B-6038ECB72ADF}"/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Recuperado</vt:lpstr>
      <vt:lpstr>A receber</vt:lpstr>
      <vt:lpstr>Não recuperado</vt:lpstr>
      <vt:lpstr>Em aberto</vt:lpstr>
      <vt:lpstr>Escritório</vt:lpstr>
      <vt:lpstr>Churn</vt:lpstr>
      <vt:lpstr>Negociação comercial</vt:lpstr>
      <vt:lpstr>Plano 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Andrade Dos Santos</dc:creator>
  <cp:lastModifiedBy>Julio Cesar Andrade Dos Santos</cp:lastModifiedBy>
  <dcterms:created xsi:type="dcterms:W3CDTF">2026-09-25T19:51:07Z</dcterms:created>
  <dcterms:modified xsi:type="dcterms:W3CDTF">2026-09-25T19:51:27Z</dcterms:modified>
</cp:coreProperties>
</file>