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lio.santos\Documents\GitHub\Operacoes_Produtor_Rural\retencao\posicao-suspensos-2026-09-16\"/>
    </mc:Choice>
  </mc:AlternateContent>
  <xr:revisionPtr revIDLastSave="0" documentId="13_ncr:1_{CC804406-D369-4D58-8D77-B221DBDD7BC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mo" sheetId="1" r:id="rId1"/>
    <sheet name="Inadimplencia" sheetId="2" r:id="rId2"/>
    <sheet name="Churn" sheetId="3" r:id="rId3"/>
  </sheets>
  <definedNames>
    <definedName name="_xlnm._FilterDatabase" localSheetId="2" hidden="1">Churn!$A$4:$L$32</definedName>
    <definedName name="_xlnm._FilterDatabase" localSheetId="1" hidden="1">Inadimplencia!$A$4:$Q$30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3" i="3" l="1"/>
  <c r="E33" i="3"/>
  <c r="M31" i="2"/>
  <c r="F31" i="2"/>
  <c r="E31" i="2"/>
  <c r="D31" i="2"/>
  <c r="G30" i="2"/>
  <c r="N30" i="2" s="1"/>
  <c r="G29" i="2"/>
  <c r="N29" i="2" s="1"/>
  <c r="G28" i="2"/>
  <c r="N28" i="2" s="1"/>
  <c r="G27" i="2"/>
  <c r="N27" i="2" s="1"/>
  <c r="N26" i="2"/>
  <c r="G26" i="2"/>
  <c r="G25" i="2"/>
  <c r="N25" i="2" s="1"/>
  <c r="G24" i="2"/>
  <c r="N24" i="2" s="1"/>
  <c r="G23" i="2"/>
  <c r="N23" i="2" s="1"/>
  <c r="G22" i="2"/>
  <c r="N22" i="2" s="1"/>
  <c r="G21" i="2"/>
  <c r="N21" i="2" s="1"/>
  <c r="G20" i="2"/>
  <c r="N20" i="2" s="1"/>
  <c r="G19" i="2"/>
  <c r="N19" i="2" s="1"/>
  <c r="E9" i="1" s="1"/>
  <c r="G18" i="2"/>
  <c r="N18" i="2" s="1"/>
  <c r="G17" i="2"/>
  <c r="N17" i="2" s="1"/>
  <c r="G16" i="2"/>
  <c r="N16" i="2" s="1"/>
  <c r="G15" i="2"/>
  <c r="N15" i="2" s="1"/>
  <c r="G14" i="2"/>
  <c r="N14" i="2" s="1"/>
  <c r="G13" i="2"/>
  <c r="N13" i="2" s="1"/>
  <c r="G12" i="2"/>
  <c r="N12" i="2" s="1"/>
  <c r="G11" i="2"/>
  <c r="N11" i="2" s="1"/>
  <c r="N10" i="2"/>
  <c r="G10" i="2"/>
  <c r="G9" i="2"/>
  <c r="N9" i="2" s="1"/>
  <c r="G8" i="2"/>
  <c r="N8" i="2" s="1"/>
  <c r="G7" i="2"/>
  <c r="N7" i="2" s="1"/>
  <c r="G6" i="2"/>
  <c r="N6" i="2" s="1"/>
  <c r="G5" i="2"/>
  <c r="C10" i="1" s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B20" i="1"/>
  <c r="B19" i="1"/>
  <c r="B21" i="1" s="1"/>
  <c r="C15" i="1"/>
  <c r="C16" i="1" s="1"/>
  <c r="D16" i="1" s="1"/>
  <c r="C14" i="1"/>
  <c r="D10" i="1"/>
  <c r="B10" i="1"/>
  <c r="D9" i="1"/>
  <c r="B9" i="1"/>
  <c r="D8" i="1"/>
  <c r="C8" i="1"/>
  <c r="B8" i="1"/>
  <c r="D7" i="1"/>
  <c r="D11" i="1" s="1"/>
  <c r="C7" i="1"/>
  <c r="B7" i="1"/>
  <c r="N5" i="2" l="1"/>
  <c r="C34" i="1"/>
  <c r="D34" i="1"/>
  <c r="E8" i="1"/>
  <c r="D15" i="1"/>
  <c r="C19" i="1"/>
  <c r="C9" i="1"/>
  <c r="C11" i="1" s="1"/>
  <c r="C20" i="1"/>
  <c r="B34" i="1"/>
  <c r="E7" i="1"/>
  <c r="B11" i="1"/>
  <c r="D14" i="1"/>
  <c r="N31" i="2"/>
  <c r="E10" i="1"/>
  <c r="G31" i="2"/>
  <c r="C21" i="1" l="1"/>
  <c r="D21" i="1" s="1"/>
  <c r="D19" i="1"/>
  <c r="E11" i="1"/>
  <c r="D20" i="1" l="1"/>
</calcChain>
</file>

<file path=xl/sharedStrings.xml><?xml version="1.0" encoding="utf-8"?>
<sst xmlns="http://schemas.openxmlformats.org/spreadsheetml/2006/main" count="548" uniqueCount="266">
  <si>
    <t>Resumo dos dois cenarios</t>
  </si>
  <si>
    <t>Posicao em 16/09/2026</t>
  </si>
  <si>
    <t>CENARIO 1  -  Clientes suspensos com valores em aberto (inadimplencia)</t>
  </si>
  <si>
    <t>Faixa</t>
  </si>
  <si>
    <t>Contratos</t>
  </si>
  <si>
    <t>Divida da faixa</t>
  </si>
  <si>
    <t>Recuperado</t>
  </si>
  <si>
    <t>Em aberto</t>
  </si>
  <si>
    <t>Caixa confirmado</t>
  </si>
  <si>
    <t>Negociado em curso</t>
  </si>
  <si>
    <t>Pago em parte</t>
  </si>
  <si>
    <t>Sem movimento</t>
  </si>
  <si>
    <t>Total do cenario 1</t>
  </si>
  <si>
    <t>Composicao da divida</t>
  </si>
  <si>
    <t>Valor</t>
  </si>
  <si>
    <t>% do total</t>
  </si>
  <si>
    <t>Debito faturado (nota emitida, cobravel hoje)</t>
  </si>
  <si>
    <t>Valor represado (parcela segurada na suspensao)</t>
  </si>
  <si>
    <t>Divida total</t>
  </si>
  <si>
    <t>Contato com o cliente</t>
  </si>
  <si>
    <t>Divida</t>
  </si>
  <si>
    <t>% da divida</t>
  </si>
  <si>
    <t>Responde</t>
  </si>
  <si>
    <t>Nao responde</t>
  </si>
  <si>
    <t>Total</t>
  </si>
  <si>
    <t>CENARIO 2  -  Clientes em churn</t>
  </si>
  <si>
    <t>Estagio do distrato</t>
  </si>
  <si>
    <t>Valor de contrato</t>
  </si>
  <si>
    <t>Recebido</t>
  </si>
  <si>
    <t>Aguardando pagamento da multa</t>
  </si>
  <si>
    <t>Em negociacao</t>
  </si>
  <si>
    <t>Aguardando pagamento de boletos</t>
  </si>
  <si>
    <t>Distrato em conclusao</t>
  </si>
  <si>
    <t>Aguardando retorno do cliente sobre a multa</t>
  </si>
  <si>
    <t>Aguardando assinatura do distrato</t>
  </si>
  <si>
    <t>Acordo de pagamento em curso</t>
  </si>
  <si>
    <t>Total do cenario 2</t>
  </si>
  <si>
    <t>Os dois cenarios nao somam na mesma base. A inadimplencia tem divida apurada (faturado + represado); a aba Churn registra valor de contrato, e o unico valor recebido e caixa efetivo. Todos os totais sao formulas: ao alterar o detalhe, o resumo se atualiza.</t>
  </si>
  <si>
    <t>Clientes suspensos com valores em aberto</t>
  </si>
  <si>
    <t>Posicao em 16/09/2026  |  26 contratos  |  Divida total = debito faturado + valor represado</t>
  </si>
  <si>
    <t>Contrato</t>
  </si>
  <si>
    <t>Cliente</t>
  </si>
  <si>
    <t>Produto</t>
  </si>
  <si>
    <t>MRR</t>
  </si>
  <si>
    <t>Debito faturado</t>
  </si>
  <si>
    <t>Valor represado</t>
  </si>
  <si>
    <t>Pcs repres.</t>
  </si>
  <si>
    <t>Dias atraso</t>
  </si>
  <si>
    <t>Data suspensao</t>
  </si>
  <si>
    <t>Responde?</t>
  </si>
  <si>
    <t>Status cobranca</t>
  </si>
  <si>
    <t>Anotacao CS</t>
  </si>
  <si>
    <t>O que foi negociado</t>
  </si>
  <si>
    <t>30002744-5</t>
  </si>
  <si>
    <t>PETRAS DE LIMA TELLES I.E 153.832.963</t>
  </si>
  <si>
    <t>AGRIMANAGER ERP</t>
  </si>
  <si>
    <t>Nao</t>
  </si>
  <si>
    <t>Sem detalhe (importação)</t>
  </si>
  <si>
    <t>Sem retorno nas tentativas de contato com a cliente.</t>
  </si>
  <si>
    <t>Parcelas faturadas regularizadas com a Averbach, tentando contato para negociação das parcelas represadas. Em 31/08/2026 vertical solicitou contato com cliente para negociação. Cliente parou de responder tentativas de contato. Parcelas represadas desde 09/2025. Não negativado.</t>
  </si>
  <si>
    <t>30003232-5</t>
  </si>
  <si>
    <t>ALZIR PIMENTEL AGUIAR NETO IE: 19.569.743-0</t>
  </si>
  <si>
    <t>Cumprindo Acordo;</t>
  </si>
  <si>
    <t>Inadimplente - Acordo em andamento com Averbach (10x). Sem previsão de negociação das parcelas represadas. Em 20/04/2026 vertical ficou ciente da negociação em andamento. Parcelas represadas - R$ 43.792,20 (05/2026 a 09/26) fora acordo</t>
  </si>
  <si>
    <t>30003903-5</t>
  </si>
  <si>
    <t>PEDRO HENRIQUE PINTO FADEL IE: 95045009-66</t>
  </si>
  <si>
    <t>Sim</t>
  </si>
  <si>
    <t>Inadimplência</t>
  </si>
  <si>
    <t>Em negociação, cliente não concorda com o valor do débito.</t>
  </si>
  <si>
    <t>Inadimplente - Enviado cobrança, sem retorno. Em 09/01/2026 solicitado de acordo da vertical para negativação. Em contato com a cliente no whatsapp, não concorda com o valor do débito pois tentou renegociar redução anteriormente. Parcelas represadas desde 02/2026. Não negativado.</t>
  </si>
  <si>
    <t>30003178-5</t>
  </si>
  <si>
    <t>TELLUS AGROPECUARIA LTDA</t>
  </si>
  <si>
    <t>Inadimplente - Sem previsão de pagamento. Em 14/11/2025 solicitado de acordo da vertical para negativação. 01/12/2025 liberado negativação pela vertical. *NFs 150640 / 152385 / 154397 em processo de cancelamento.* Verificar de acordo da Vertical</t>
  </si>
  <si>
    <t>30006200-5</t>
  </si>
  <si>
    <t>LUIZ MOREIRA ROCHA</t>
  </si>
  <si>
    <t>MY FARM ERP</t>
  </si>
  <si>
    <t>Pgto entrada realizado, restante será pago ainda hoje</t>
  </si>
  <si>
    <t>Valor cheio fechado a vista via PIX e subido ao financeiro. Por motivo nao esclarecido para a operacao, foi ofertado parcelamento e o cliente pagou a primeira parcela. Em seguida procurou novamente a Amanda dizendo que queria pagar tudo; o restante foi subido para o cliente e aguardamos o comprovante.</t>
  </si>
  <si>
    <t>30005824-5</t>
  </si>
  <si>
    <t>CHRISTOPHER TERRENGUI IE 138736561</t>
  </si>
  <si>
    <t>Inadimplente - Sem previsão de pagamento. Em 09/11/2025 solicitado informação quanto a implantação devido ao débito em aberto. Projeto com pendência, tem bloqueio para negativação junto ao Serasa. Verificar de acordo da Vertical</t>
  </si>
  <si>
    <t>30006051-5</t>
  </si>
  <si>
    <t>FYLLIPE CARVALHO FREITAS BARROS</t>
  </si>
  <si>
    <t>Sem retorno do cliente nas tentativas de contato</t>
  </si>
  <si>
    <t>Inadimplente - Sem previsão de pagamento. Em 28/01/2026 enviado solicitação para suspender plataforma. 17/02/2026 liberado negativação pela vertical. Sem retorno nas tentativas de contato. Verificar de acordo da Vertical</t>
  </si>
  <si>
    <t>30005936-5</t>
  </si>
  <si>
    <t>SILVANO ROGER DA SILVA</t>
  </si>
  <si>
    <t>Sem retorno do cliente (3x)</t>
  </si>
  <si>
    <t>Inadimplente - Sem previsão de pagamento. Em 26/12/2025 enviado solicitação para suspender plataforma. Solicitado bloqueio da plataforma em 26/12/2025. Verificar de acordo da Vertical</t>
  </si>
  <si>
    <t>30006062-5</t>
  </si>
  <si>
    <t>FALCON AGRICOLA LTDA</t>
  </si>
  <si>
    <t>Cliente solicitou cancelamento por email ontem.</t>
  </si>
  <si>
    <t>Inadimplente - Sem previsão de pagamento. Em 13/03/2026 enviado solicitação para suspender plataforma. 19/03/2026 liberado negativação pela vertical. Reiterado Cobrança (e-mail-whatsapp).</t>
  </si>
  <si>
    <t>30002424-5</t>
  </si>
  <si>
    <t>MARCOS AURELIO SINOPOLI</t>
  </si>
  <si>
    <t>Acordo em andamento - Reativação ocorrerá após cumprimento total da renegociação. Em 20/04/2026 solicitado de acordo da vertical para negativação. Parcelas represadas - R$ 13.521,08 (06/2026 a 09/26) fora acordo</t>
  </si>
  <si>
    <t>30001698-1</t>
  </si>
  <si>
    <t>JOAO BATISTA CONSENTINI FILHO I.E.11.457.541-0</t>
  </si>
  <si>
    <t>Acordo em andamento - Reativação ocorrerá após cumprimento total da renegociação. Em 09/07/2026 vertical solicitou retorno para negociação com cliente. Parcelas represadas - R$ 10.688,86 (08/26 e 09/26) fora acordo</t>
  </si>
  <si>
    <t>30005234-5</t>
  </si>
  <si>
    <t>VITOR MARCIO DUMONCEL E OUTROS IE: 13.890.735-8</t>
  </si>
  <si>
    <t>Inadimplência - em negociação</t>
  </si>
  <si>
    <t>Pgto previsto dia 21/09</t>
  </si>
  <si>
    <t>Acordo em andamento - Reativação ocorrerá após cumprimento total da renegociação. Em 22/07/2025 solicitado informação quanto a implantação devido ao débito em aberto. Pagamento previsto para o dia 18/09. Parcelas represadas - R$ 9.753,20 (08/26 e 09/26) fora acordo</t>
  </si>
  <si>
    <t>30007418-5</t>
  </si>
  <si>
    <t>LUIZ ESPINDULA CARDOSO NETO</t>
  </si>
  <si>
    <t>Sem detalhe</t>
  </si>
  <si>
    <t>Cliente solicitou churn para projetos e sumiu</t>
  </si>
  <si>
    <t>Inadimplente - Enviado cobrança, sem retorno. O cliente solicitou cancelamento para o time de projetos (ainda estava em implantação), porém após isso deixou de responder tanto projetos, quanto CS, sem abertura para tentativa de reversão e ainda não formalizou o cancelamento.</t>
  </si>
  <si>
    <t>30005102-5</t>
  </si>
  <si>
    <t>JOSE ROSA DOS SANTOS</t>
  </si>
  <si>
    <t>Em negociação</t>
  </si>
  <si>
    <t>Inadimplente - Sem previsão de pagamento. Em 11/11/2025 enviado solicitação para suspender plataforma. Em 15/01/2026 solicitamos de acordo para negativação. Verificar de acordo da Vertical</t>
  </si>
  <si>
    <t>30005717-5</t>
  </si>
  <si>
    <t>THEODORO RICARDO DE ANDRADE</t>
  </si>
  <si>
    <t>Pgto integral das pendencias 16/09 [Não houve pagamento dos valores represados] Houve tentativa de negociação e retenção junto à cliente, com alinhamento com o Financeiro para avaliarmos alternativas para os valores represados, considerando que a base estava suspensa e que a cliente já vinha buscando, há algum tempo, uma solução junto à equipe de cobranças, sem sucesso. A dificuldade em conduzir a negociação, somada ao desgaste gerado pelas tentativas anteriores de regularização e à insatisfação da cliente com a cobrança de valores referentes ao período em que permaneceu com o acesso bloqueado, comprometeu a possibilidade de acordo. Mesmo com as condições especiais disponibilizadas, a cliente optou por realizar apenas o pagamento das pendências faturadas, não aceitou negociar os valores represados e, posteriormente, formalizou o cancelamento, informando que pretende tratar judicialmente os valores remanescentes.</t>
  </si>
  <si>
    <t>Tentamos negociar, mas a cliente havia solicitado suspensao do contrato. Ao cobrarmos o que estava em aberto, o financeiro informou que os valores do periodo de suspensao deveriam ser cobrados. A conversa foi puxada para o criterio de implantacao nao finalizada, que nao era o alvo da tratativa, e nenhuma abertura foi concedida. A cliente pagou apenas as pendencias faturadas, recusou os represados, pediu cancelamento e sinalizou via judicial. Perdemos MRR de R$ 1.700.</t>
  </si>
  <si>
    <t>30003342-5</t>
  </si>
  <si>
    <t>NOVA FRONTEIRA AGROPECUARIA LTDA</t>
  </si>
  <si>
    <t>Inadimplente - Enviado cobrança, sem retorno. Em 02/07/2026 solicitado de acordo da vertical para negativação. Em contato com a cliente no whatsapp. Sem sucesso nas tentativas de contato. Reiterado Cobrança (e-mail-whatsapp).</t>
  </si>
  <si>
    <t>30003885-5</t>
  </si>
  <si>
    <t>MARCELO BENEDITO LARA</t>
  </si>
  <si>
    <t>Sem retorno do cliente (por email)</t>
  </si>
  <si>
    <t>Inadimplente - Sem previsão de pagamento. Em 29/07/2025 enviado solicitação para suspender plataforma. Solicitado bloqueio da plataforma em 24/07/2025. Em 05/08/2025 liberado negativação pela vertical. Verificar de acordo da Vertical</t>
  </si>
  <si>
    <t>30001803-5</t>
  </si>
  <si>
    <t>MOACYR BRUNETTA</t>
  </si>
  <si>
    <t>Financeiro enviou dados para pagamento via PIX, aguardando comprovante de pagamento</t>
  </si>
  <si>
    <t>Inadimplente - Enviado cobrança, sem retorno.</t>
  </si>
  <si>
    <t>30006056-5</t>
  </si>
  <si>
    <t>JUAREZ CARLOS SILVA FILHO</t>
  </si>
  <si>
    <t>Pago</t>
  </si>
  <si>
    <t>Inadimplente - Enviado cobrança, sem retorno. Em 30/06/2026 enviado solicitação para suspender plataforma. Cliente realizou o pagamento. Reiterado Cobrança (e-mail-whatsapp).</t>
  </si>
  <si>
    <t>30007162-5</t>
  </si>
  <si>
    <t>ANA PAULA BANDEIRA DE LIMA</t>
  </si>
  <si>
    <t>Inadimplente - Enviado cobrança, sem retorno. Em 10/08/2026 enviado solicitação para suspender plataforma. Cliente realizou o pagamento. Reiterado Cobrança (e-mail-whatsapp).</t>
  </si>
  <si>
    <t>30000710-5</t>
  </si>
  <si>
    <t>PAULO MASSAYOSHI MIZOTE</t>
  </si>
  <si>
    <t>Pagou</t>
  </si>
  <si>
    <t>Inadimplente - Carlos (responsável) informou que a NFs já estão agendadas para pagamento até a próxima semana. Reiterado Cobrança (e-mail-whatsapp).</t>
  </si>
  <si>
    <t>30006069-5</t>
  </si>
  <si>
    <t>PABLO RAFAEL SCNHEIDER</t>
  </si>
  <si>
    <t>Esse cliente é que o contrato deveria ser cobrado semestralmente e foi faturado mensal. Em análise pela Dinamara.</t>
  </si>
  <si>
    <t>Inadimplente - Pablo (resp) informou que a negociação foi para cobrança semestral das mensalidades, informado que poderemos alterar a partir de outubro/26 porém as NFs emitidas terão que ser pagas, aguardando posiconamento. Em 27/08/2026 vertical solicitou retorno ao cliente para negociação. Cliente não concorda com a cobrança mensal da assinatura, pois foi negociado a cobrança semestral. Reiterado Cobrança (e-mail-whatsapp).</t>
  </si>
  <si>
    <t>30003568-5</t>
  </si>
  <si>
    <t>HENRIQUE REGES DE CARVALHO</t>
  </si>
  <si>
    <t>Sem retorno do cliente (2x)</t>
  </si>
  <si>
    <t>Inadimplente - Enviado cobrança, sem retorno. Em 10/08/2026 enviado solicitação para suspender plataforma. Solicitado bloqueio da plataforma em 10/08/2026. Reiterado Cobrança (e-mail-whatsapp).</t>
  </si>
  <si>
    <t>30001886-5</t>
  </si>
  <si>
    <t>RONI CESAR FERREIRA ALVES MACHADO</t>
  </si>
  <si>
    <t>Acredito que a empresa fechou, whatsapp com ultimo visto 01/09 e não atendem ligação.</t>
  </si>
  <si>
    <t>Inadimplente - Sem previsão de pagamento. Em 17/07/2026 solicitado apoio a vertical quanto a novos telefones de contato. Em 20/07/2026 solicitamos de acordo para negativação porém sem resposta. Tentando contato com cliente porém whatsapp business informa que estão fechados, e não atendem ligação. Reiterado Cobrança (e-mail-whatsapp).</t>
  </si>
  <si>
    <t>30004027-5</t>
  </si>
  <si>
    <t>JOAO EVERTON PAULINO RAMOS ALVES - IE 002448697.03-57</t>
  </si>
  <si>
    <t>Previsão de pgto 18/09</t>
  </si>
  <si>
    <t>Inadimplente - Enviado cobrança, sem retorno. Em 30/06/2026 enviado solicitação para suspender plataforma. Cliente aceitou proposta de 15% de desconto no débito. Previsão de pgto 18/09 Reiterado Cobrança (e-mail-whatsapp).</t>
  </si>
  <si>
    <t>30001840-5</t>
  </si>
  <si>
    <t>MARCIA ANGELICA BARBOZA CORADINI IE 13898617-7</t>
  </si>
  <si>
    <t>Inadimplente - Sem previsão de pagamento. Em 30/06/2026 enviado solicitação para suspender plataforma. Em 02/01/2026 solicitamos de acordo para negativação, vertical ficou de tentar contato antes da negativação porém sem retorno, seguimos com a negativação. Reiterado Cobrança (e-mail-whatsapp).</t>
  </si>
  <si>
    <t>TOTAL</t>
  </si>
  <si>
    <t>Legenda das faixas</t>
  </si>
  <si>
    <t>Dinheiro ja compensado. Inclui a parte faturada paga por Theodoro Ricardo de Andrade.</t>
  </si>
  <si>
    <t>Valor fechado com o cliente, recebimento em andamento ou com data marcada.</t>
  </si>
  <si>
    <t>Pagou o debito faturado e recusou o valor represado. Contrato cancelado.</t>
  </si>
  <si>
    <t>Sem pagamento e sem acordo ate 16/09/2026.</t>
  </si>
  <si>
    <t>Fonte: Clientes Suspensos e Tratados por CS - Posicao em 16-09-2026.xlsx, aba Inadimplencia. As colunas Recuperado e Faixa foram atribuidas a partir da anotacao da CS e da posicao informada pela coordenacao em 16/09/2026, pois a base de origem nao possui coluna de valor pago.</t>
  </si>
  <si>
    <t>Clientes em churn</t>
  </si>
  <si>
    <t>Posicao em 16/09/2026  |  28 contratos  |  O valor em jogo e multa de distrato e boleto em aberto, nao mensalidade</t>
  </si>
  <si>
    <t>Vertical</t>
  </si>
  <si>
    <t>Substatus</t>
  </si>
  <si>
    <t>Estagio</t>
  </si>
  <si>
    <t>Houve recebimento?</t>
  </si>
  <si>
    <t>Acao de curadoria</t>
  </si>
  <si>
    <t>Observacao CS</t>
  </si>
  <si>
    <t>Resumo da anotacao</t>
  </si>
  <si>
    <t>30005780-5</t>
  </si>
  <si>
    <t>AGRO SANTA CLARA LTDA</t>
  </si>
  <si>
    <t>PRODUTORES AGRICOLAS</t>
  </si>
  <si>
    <t>RISCO CHURN</t>
  </si>
  <si>
    <t>Em Negociação</t>
  </si>
  <si>
    <t>CHURN - ASSINATURA DE DISTRATO Cliente solicitou o cancelamento do contrato (e-mail: natanael@7campos.com.br). Estamos aguardando retorno do CS</t>
  </si>
  <si>
    <t>30006028-5</t>
  </si>
  <si>
    <t>LUCIVAL PORTILHO ARANTES IE 29.474.545-9</t>
  </si>
  <si>
    <t>Aguardando Pagamento Multa</t>
  </si>
  <si>
    <t>Cliente pagou R$ 15.000,00 em 16/09. O valor cobre debito em aberto e multa de distrato dos DOIS contratos desta inscricao estadual (30006028-5 e 30006243-5), que somam R$ 5.896,12 de valor de contrato. Lancado integralmente nesta linha para nao duplicar.</t>
  </si>
  <si>
    <t>CHURN - ASSINATURA DE DISTRATO CLIENTE SOLICITOU O CANCELAMENTO DO CONTRATO</t>
  </si>
  <si>
    <t>30001494-1</t>
  </si>
  <si>
    <t>PEDRO JOSE BERTUOL</t>
  </si>
  <si>
    <t>Aguardando Assinatura Distrato</t>
  </si>
  <si>
    <t>30003130-5</t>
  </si>
  <si>
    <t>GEMIRO CARAFINI IE: 11.106.270-5</t>
  </si>
  <si>
    <t>CHURN - ASSINATURA DE DISTRATO CLIENTE SOLICITOU CANCELAMENTO DO CONTRATO</t>
  </si>
  <si>
    <t>30005811-5</t>
  </si>
  <si>
    <t>AUGUSTO CESAR ANDRADE MAIA</t>
  </si>
  <si>
    <t>CHURN - ASSINATURA DE DISTRATO Cliente solicitou o cancelamento do c</t>
  </si>
  <si>
    <t>30005366-5</t>
  </si>
  <si>
    <t>ALEX ROBERTO DOS SANTOS ARRUDA IE: 13714988-3</t>
  </si>
  <si>
    <t>CHURN - ASSINATURA DE DISTRATO Cliente solicitou o cancelamento do contrato</t>
  </si>
  <si>
    <t>30003665-5</t>
  </si>
  <si>
    <t>TIAGO GODOY VILELA E OUTRO IE: 13.527.389-7</t>
  </si>
  <si>
    <t>30007127-5</t>
  </si>
  <si>
    <t>AGRO ALIANCA LTDA</t>
  </si>
  <si>
    <t>30005213-5</t>
  </si>
  <si>
    <t>FERNANDO LUNARDI E OUTROS IE: 13.554.998-1</t>
  </si>
  <si>
    <t>Aguardando retorno cliente Multa</t>
  </si>
  <si>
    <t>CHURN</t>
  </si>
  <si>
    <t>30003425-5</t>
  </si>
  <si>
    <t>FABIO GIOVANNI MARTINS CARRAPATEIRA IE: 28.801.052-3</t>
  </si>
  <si>
    <t>CHURN - ASSINATURA DE DISTRATO Cliente pagava por resgate. No momento de voltar a pagar pelo sistema, o cliente manifestou o desejo de cancelamento de contrato. Rodrigo Mendonça tratando do cancelamento. Suspenso até conclusão</t>
  </si>
  <si>
    <t>30006243-5</t>
  </si>
  <si>
    <t>ALIARE CLOUD - PR</t>
  </si>
  <si>
    <t>Pagamento registrado no contrato 30006028-5, do mesmo cliente. Ver aquela linha.</t>
  </si>
  <si>
    <t>30002284-5</t>
  </si>
  <si>
    <t>JOSE DIAS DE MELO NETO - IE 11.377.955-0</t>
  </si>
  <si>
    <t>INADIMPLENCIA</t>
  </si>
  <si>
    <t>Processo de Distrato</t>
  </si>
  <si>
    <t>Em processo de cancelamento.</t>
  </si>
  <si>
    <t>30005737-5</t>
  </si>
  <si>
    <t>ORDATA LTDA</t>
  </si>
  <si>
    <t>30004447-5</t>
  </si>
  <si>
    <t>IVAN ALVES SILVA</t>
  </si>
  <si>
    <t>churn - Inadimplente desde 12/2025 - solicitação de cancelamento 06/2026</t>
  </si>
  <si>
    <t>Em processo de cancelamento - Cliente não pagou a multa</t>
  </si>
  <si>
    <t>30005572-5</t>
  </si>
  <si>
    <t>LEANDRO GAI ANVERSA</t>
  </si>
  <si>
    <t>CHURN - ASSINATURA DE DISTRATO Cliente solicitou o cancelamento do contrato. Ticket 795460</t>
  </si>
  <si>
    <t>30005742-5</t>
  </si>
  <si>
    <t>GILIARDE RODRIGUES DA SILVA</t>
  </si>
  <si>
    <t>30005913-5</t>
  </si>
  <si>
    <t>BEATRIZ COSTA FRANCO</t>
  </si>
  <si>
    <t>Churn, o valor foi negociado em 2x de R$ 1000 e foi repassado a cobrança para o time de contas a receber</t>
  </si>
  <si>
    <t>30004420-5</t>
  </si>
  <si>
    <t>ALMIR DAL ROVERE IE: 00000005692121</t>
  </si>
  <si>
    <t>EM NEGOCIACAO</t>
  </si>
  <si>
    <t>Suspensão realizada pelo faturamento, após pesquisa cliente não quis renovar.</t>
  </si>
  <si>
    <t>CLIENTE NÃO QUIS RENOVAR O CONTRATO</t>
  </si>
  <si>
    <t>30005970-5</t>
  </si>
  <si>
    <t>VOLMIR ANTONIO FAVEIRO | I.E. 002638676.00-50</t>
  </si>
  <si>
    <t>CHURN - ASSINATURA DE DISTRATO Cliente solicitou o cancelamento do contrato. E-mail: fazenda@agrosistemas.com.br</t>
  </si>
  <si>
    <t>30005679-5</t>
  </si>
  <si>
    <t>ELDON RICARDO BECKMAMM</t>
  </si>
  <si>
    <t>CHURN - ASSINATURA DE DISTRATO Cliente solicitou o cancelamento do contrato. E-mail: fazendasarandi.mtpa@gmail.com</t>
  </si>
  <si>
    <t>30003080-5</t>
  </si>
  <si>
    <t>LUCIANO JAYME GUIMARAES</t>
  </si>
  <si>
    <t>Confirmar distrato e registrar lição de churn</t>
  </si>
  <si>
    <t>CHURN - ASSINATURA DE DISTRATO CLIENTE SOLICITOU O CANCELAMENTO DO CONTRATO. TICKET 800613</t>
  </si>
  <si>
    <t>30007041-5</t>
  </si>
  <si>
    <t>MARCO ANTONIO GIACON</t>
  </si>
  <si>
    <t>Acompanhar acordo de pagamento - Inadimplente desde 02/2026 - solicitação de cancelamento 06/2026-solicitou o cancelamento após cobrança</t>
  </si>
  <si>
    <t>30006190-5</t>
  </si>
  <si>
    <t>JOAO MIGUEL GIONGO FREITAS</t>
  </si>
  <si>
    <t>churn - Inadimplente desde 01/2026 - solicitação de cancelamento 07/2026</t>
  </si>
  <si>
    <t>30006175-5</t>
  </si>
  <si>
    <t>CLAUDIO MOIZES DECARES</t>
  </si>
  <si>
    <t>30003756-5</t>
  </si>
  <si>
    <t>GERALDO ROBERTO MOSSIGNATO - 13.956.315-6</t>
  </si>
  <si>
    <t>CHURN - ASSINATURA DE DISTRATO CLIENTE SOLICITOU O CANCELAMENTO DO CONTRATO - grupomossignato@gmail.com</t>
  </si>
  <si>
    <t>30004798-5</t>
  </si>
  <si>
    <t>JOSE VALDIR MARTINS VIEIRA IE 11530003-1</t>
  </si>
  <si>
    <t>CHURN - ASSINATURA DE DISTRATO Cliente solicitou o cancelamento (paulobernardo.contabil@gmail.com)</t>
  </si>
  <si>
    <t>30005162-5</t>
  </si>
  <si>
    <t>VINICIUS DA SILVA SOARES</t>
  </si>
  <si>
    <t>Churn</t>
  </si>
  <si>
    <t>30004487-5</t>
  </si>
  <si>
    <t>GIZELLY SANTOS IE 28.852.854-9</t>
  </si>
  <si>
    <t>CHURN - ASSINATURA DE DISTRATO cliente solicitou o cancelamento do contrato</t>
  </si>
  <si>
    <t>Fonte: Clientes Suspensos e Tratados por CS - Posicao em 16-09-2026.xlsx, aba Churn. A coluna Estagio agrupa os textos livres da Acao de Curadoria. O unico recebimento registrado no periodo foi o de Lucival Portilho Arantes, lancado integralmente no contrato 30006028-5.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</si>
</sst>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\-&quot;R$&quot;\ #,##0.00;&quot;-&quot;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4"/>
      <color rgb="FF1F3B52"/>
      <name val="Arial"/>
    </font>
    <font>
      <sz val="9"/>
      <color rgb="FF5A6B7C"/>
      <name val="Arial"/>
    </font>
    <font>
      <b/>
      <sz val="9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1F3B52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B52"/>
      </patternFill>
    </fill>
    <fill>
      <patternFill patternType="solid">
        <fgColor rgb="FFF2F4F7"/>
      </patternFill>
    </fill>
    <fill>
      <patternFill patternType="solid">
        <fgColor rgb="FFDAE8F2"/>
      </patternFill>
    </fill>
    <fill>
      <patternFill patternType="solid">
        <fgColor rgb="FFFBEBD7"/>
      </patternFill>
    </fill>
    <fill>
      <patternFill patternType="solid">
        <fgColor rgb="FFD9EDE2"/>
      </patternFill>
    </fill>
    <fill>
      <patternFill patternType="solid">
        <fgColor rgb="FFDCE6EE"/>
      </patternFill>
    </fill>
  </fills>
  <borders count="2">
    <border>
      <left/>
      <right/>
      <top/>
      <bottom/>
      <diagonal/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6" fillId="0" borderId="0" xfId="0" applyFont="1"/>
    <xf numFmtId="0" fontId="3" fillId="2" borderId="1" xfId="0" applyFont="1" applyFill="1" applyBorder="1" applyAlignment="1">
      <alignment horizontal="left" vertical="center" wrapText="1"/>
    </xf>
    <xf numFmtId="0" fontId="4" fillId="6" borderId="1" xfId="0" applyFont="1" applyFill="1" applyBorder="1"/>
    <xf numFmtId="1" fontId="4" fillId="6" borderId="1" xfId="0" applyNumberFormat="1" applyFont="1" applyFill="1" applyBorder="1"/>
    <xf numFmtId="164" fontId="4" fillId="6" borderId="1" xfId="0" applyNumberFormat="1" applyFont="1" applyFill="1" applyBorder="1"/>
    <xf numFmtId="0" fontId="4" fillId="4" borderId="1" xfId="0" applyFont="1" applyFill="1" applyBorder="1"/>
    <xf numFmtId="1" fontId="4" fillId="4" borderId="1" xfId="0" applyNumberFormat="1" applyFont="1" applyFill="1" applyBorder="1"/>
    <xf numFmtId="164" fontId="4" fillId="4" borderId="1" xfId="0" applyNumberFormat="1" applyFont="1" applyFill="1" applyBorder="1"/>
    <xf numFmtId="0" fontId="4" fillId="5" borderId="1" xfId="0" applyFont="1" applyFill="1" applyBorder="1"/>
    <xf numFmtId="1" fontId="4" fillId="5" borderId="1" xfId="0" applyNumberFormat="1" applyFont="1" applyFill="1" applyBorder="1"/>
    <xf numFmtId="164" fontId="4" fillId="5" borderId="1" xfId="0" applyNumberFormat="1" applyFont="1" applyFill="1" applyBorder="1"/>
    <xf numFmtId="0" fontId="4" fillId="3" borderId="1" xfId="0" applyFont="1" applyFill="1" applyBorder="1"/>
    <xf numFmtId="1" fontId="4" fillId="3" borderId="1" xfId="0" applyNumberFormat="1" applyFont="1" applyFill="1" applyBorder="1"/>
    <xf numFmtId="164" fontId="4" fillId="3" borderId="1" xfId="0" applyNumberFormat="1" applyFont="1" applyFill="1" applyBorder="1"/>
    <xf numFmtId="0" fontId="5" fillId="7" borderId="1" xfId="0" applyFont="1" applyFill="1" applyBorder="1"/>
    <xf numFmtId="1" fontId="5" fillId="7" borderId="1" xfId="0" applyNumberFormat="1" applyFont="1" applyFill="1" applyBorder="1"/>
    <xf numFmtId="164" fontId="5" fillId="7" borderId="1" xfId="0" applyNumberFormat="1" applyFont="1" applyFill="1" applyBorder="1"/>
    <xf numFmtId="0" fontId="4" fillId="0" borderId="1" xfId="0" applyFont="1" applyBorder="1"/>
    <xf numFmtId="164" fontId="4" fillId="0" borderId="1" xfId="0" applyNumberFormat="1" applyFont="1" applyBorder="1"/>
    <xf numFmtId="166" fontId="4" fillId="0" borderId="1" xfId="0" applyNumberFormat="1" applyFont="1" applyBorder="1"/>
    <xf numFmtId="166" fontId="5" fillId="7" borderId="1" xfId="0" applyNumberFormat="1" applyFont="1" applyFill="1" applyBorder="1"/>
    <xf numFmtId="1" fontId="4" fillId="0" borderId="1" xfId="0" applyNumberFormat="1" applyFont="1" applyBorder="1"/>
    <xf numFmtId="0" fontId="4" fillId="3" borderId="1" xfId="0" applyFont="1" applyFill="1" applyBorder="1" applyAlignment="1">
      <alignment vertical="top"/>
    </xf>
    <xf numFmtId="164" fontId="4" fillId="3" borderId="1" xfId="0" applyNumberFormat="1" applyFont="1" applyFill="1" applyBorder="1" applyAlignment="1">
      <alignment vertical="top"/>
    </xf>
    <xf numFmtId="14" fontId="4" fillId="3" borderId="1" xfId="0" applyNumberFormat="1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/>
    </xf>
    <xf numFmtId="164" fontId="4" fillId="4" borderId="1" xfId="0" applyNumberFormat="1" applyFont="1" applyFill="1" applyBorder="1" applyAlignment="1">
      <alignment vertical="top"/>
    </xf>
    <xf numFmtId="14" fontId="4" fillId="4" borderId="1" xfId="0" applyNumberFormat="1" applyFont="1" applyFill="1" applyBorder="1" applyAlignment="1">
      <alignment vertical="top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/>
    </xf>
    <xf numFmtId="164" fontId="4" fillId="5" borderId="1" xfId="0" applyNumberFormat="1" applyFont="1" applyFill="1" applyBorder="1" applyAlignment="1">
      <alignment vertical="top"/>
    </xf>
    <xf numFmtId="14" fontId="4" fillId="5" borderId="1" xfId="0" applyNumberFormat="1" applyFont="1" applyFill="1" applyBorder="1" applyAlignment="1">
      <alignment vertical="top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/>
    </xf>
    <xf numFmtId="164" fontId="4" fillId="6" borderId="1" xfId="0" applyNumberFormat="1" applyFont="1" applyFill="1" applyBorder="1" applyAlignment="1">
      <alignment vertical="top"/>
    </xf>
    <xf numFmtId="14" fontId="4" fillId="6" borderId="1" xfId="0" applyNumberFormat="1" applyFont="1" applyFill="1" applyBorder="1" applyAlignment="1">
      <alignment vertical="top"/>
    </xf>
    <xf numFmtId="0" fontId="4" fillId="6" borderId="1" xfId="0" applyFont="1" applyFill="1" applyBorder="1" applyAlignment="1">
      <alignment vertical="top" wrapText="1"/>
    </xf>
    <xf numFmtId="0" fontId="0" fillId="7" borderId="1" xfId="0" applyFill="1" applyBorder="1"/>
    <xf numFmtId="0" fontId="4" fillId="0" borderId="1" xfId="0" applyFont="1" applyBorder="1" applyAlignment="1">
      <alignment vertical="top"/>
    </xf>
    <xf numFmtId="164" fontId="4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abSelected="1" workbookViewId="0">
      <selection sqref="A1:E1"/>
    </sheetView>
  </sheetViews>
  <sheetFormatPr defaultRowHeight="14.5" x14ac:dyDescent="0.35"/>
  <cols>
    <col min="1" max="1" width="42" customWidth="1"/>
    <col min="2" max="2" width="15" customWidth="1"/>
    <col min="3" max="5" width="17" customWidth="1"/>
  </cols>
  <sheetData>
    <row r="1" spans="1:5" ht="22" customHeight="1" x14ac:dyDescent="0.4">
      <c r="A1" s="46" t="s">
        <v>0</v>
      </c>
      <c r="B1" s="44"/>
      <c r="C1" s="44"/>
      <c r="D1" s="44"/>
      <c r="E1" s="44"/>
    </row>
    <row r="2" spans="1:5" x14ac:dyDescent="0.35">
      <c r="A2" s="43" t="s">
        <v>1</v>
      </c>
      <c r="B2" s="44"/>
      <c r="C2" s="44"/>
      <c r="D2" s="44"/>
      <c r="E2" s="44"/>
    </row>
    <row r="3" spans="1:5" ht="6" customHeight="1" x14ac:dyDescent="0.35"/>
    <row r="5" spans="1:5" x14ac:dyDescent="0.35">
      <c r="A5" s="1" t="s">
        <v>2</v>
      </c>
    </row>
    <row r="6" spans="1:5" x14ac:dyDescent="0.35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</row>
    <row r="7" spans="1:5" x14ac:dyDescent="0.35">
      <c r="A7" s="3" t="s">
        <v>8</v>
      </c>
      <c r="B7" s="4">
        <f>COUNTIF(Inadimplencia!$L$5:$L$30,$A7)</f>
        <v>3</v>
      </c>
      <c r="C7" s="5">
        <f>SUMIF(Inadimplencia!$L$5:$L$30,$A7,Inadimplencia!$G$5:$G$30)</f>
        <v>7655.52</v>
      </c>
      <c r="D7" s="5">
        <f>SUMIF(Inadimplencia!$L$5:$L$30,$A7,Inadimplencia!$M$5:$M$30)</f>
        <v>7655.52</v>
      </c>
      <c r="E7" s="5">
        <f>SUMIF(Inadimplencia!$L$5:$L$30,$A7,Inadimplencia!$N$5:$N$30)</f>
        <v>0</v>
      </c>
    </row>
    <row r="8" spans="1:5" x14ac:dyDescent="0.35">
      <c r="A8" s="6" t="s">
        <v>9</v>
      </c>
      <c r="B8" s="7">
        <f>COUNTIF(Inadimplencia!$L$5:$L$30,$A8)</f>
        <v>4</v>
      </c>
      <c r="C8" s="8">
        <f>SUMIF(Inadimplencia!$L$5:$L$30,$A8,Inadimplencia!$G$5:$G$30)</f>
        <v>34794.71</v>
      </c>
      <c r="D8" s="8">
        <f>SUMIF(Inadimplencia!$L$5:$L$30,$A8,Inadimplencia!$M$5:$M$30)</f>
        <v>34794.71</v>
      </c>
      <c r="E8" s="8">
        <f>SUMIF(Inadimplencia!$L$5:$L$30,$A8,Inadimplencia!$N$5:$N$30)</f>
        <v>0</v>
      </c>
    </row>
    <row r="9" spans="1:5" x14ac:dyDescent="0.35">
      <c r="A9" s="9" t="s">
        <v>10</v>
      </c>
      <c r="B9" s="10">
        <f>COUNTIF(Inadimplencia!$L$5:$L$30,$A9)</f>
        <v>1</v>
      </c>
      <c r="C9" s="11">
        <f>SUMIF(Inadimplencia!$L$5:$L$30,$A9,Inadimplencia!$G$5:$G$30)</f>
        <v>5950</v>
      </c>
      <c r="D9" s="11">
        <f>SUMIF(Inadimplencia!$L$5:$L$30,$A9,Inadimplencia!$M$5:$M$30)</f>
        <v>1700</v>
      </c>
      <c r="E9" s="11">
        <f>SUMIF(Inadimplencia!$L$5:$L$30,$A9,Inadimplencia!$N$5:$N$30)</f>
        <v>4250</v>
      </c>
    </row>
    <row r="10" spans="1:5" x14ac:dyDescent="0.35">
      <c r="A10" s="12" t="s">
        <v>11</v>
      </c>
      <c r="B10" s="13">
        <f>COUNTIF(Inadimplencia!$L$5:$L$30,$A10)</f>
        <v>18</v>
      </c>
      <c r="C10" s="14">
        <f>SUMIF(Inadimplencia!$L$5:$L$30,$A10,Inadimplencia!$G$5:$G$30)</f>
        <v>279880.02999999997</v>
      </c>
      <c r="D10" s="14">
        <f>SUMIF(Inadimplencia!$L$5:$L$30,$A10,Inadimplencia!$M$5:$M$30)</f>
        <v>0</v>
      </c>
      <c r="E10" s="14">
        <f>SUMIF(Inadimplencia!$L$5:$L$30,$A10,Inadimplencia!$N$5:$N$30)</f>
        <v>279880.02999999997</v>
      </c>
    </row>
    <row r="11" spans="1:5" x14ac:dyDescent="0.35">
      <c r="A11" s="15" t="s">
        <v>12</v>
      </c>
      <c r="B11" s="16">
        <f>SUM(B7:B10)</f>
        <v>26</v>
      </c>
      <c r="C11" s="17">
        <f>SUM(C7:C10)</f>
        <v>328280.25999999995</v>
      </c>
      <c r="D11" s="17">
        <f>SUM(D7:D10)</f>
        <v>44150.229999999996</v>
      </c>
      <c r="E11" s="17">
        <f>SUM(E7:E10)</f>
        <v>284130.02999999997</v>
      </c>
    </row>
    <row r="13" spans="1:5" x14ac:dyDescent="0.35">
      <c r="A13" s="2" t="s">
        <v>13</v>
      </c>
      <c r="B13" s="2"/>
      <c r="C13" s="2" t="s">
        <v>14</v>
      </c>
      <c r="D13" s="2" t="s">
        <v>15</v>
      </c>
      <c r="E13" s="2"/>
    </row>
    <row r="14" spans="1:5" x14ac:dyDescent="0.35">
      <c r="A14" s="18" t="s">
        <v>16</v>
      </c>
      <c r="B14" s="18"/>
      <c r="C14" s="19">
        <f>SUM(Inadimplencia!$E$5:$E$30)</f>
        <v>105157.81</v>
      </c>
      <c r="D14" s="20">
        <f>C14/$C$16</f>
        <v>0.3203293734445074</v>
      </c>
      <c r="E14" s="18"/>
    </row>
    <row r="15" spans="1:5" x14ac:dyDescent="0.35">
      <c r="A15" s="18" t="s">
        <v>17</v>
      </c>
      <c r="B15" s="18"/>
      <c r="C15" s="19">
        <f>SUM(Inadimplencia!$F$5:$F$30)</f>
        <v>223122.45</v>
      </c>
      <c r="D15" s="20">
        <f>C15/$C$16</f>
        <v>0.6796706265554926</v>
      </c>
      <c r="E15" s="18"/>
    </row>
    <row r="16" spans="1:5" x14ac:dyDescent="0.35">
      <c r="A16" s="15" t="s">
        <v>18</v>
      </c>
      <c r="B16" s="15"/>
      <c r="C16" s="17">
        <f>C14+C15</f>
        <v>328280.26</v>
      </c>
      <c r="D16" s="21">
        <f>C16/$C$16</f>
        <v>1</v>
      </c>
      <c r="E16" s="15"/>
    </row>
    <row r="18" spans="1:5" x14ac:dyDescent="0.35">
      <c r="A18" s="2" t="s">
        <v>19</v>
      </c>
      <c r="B18" s="2" t="s">
        <v>4</v>
      </c>
      <c r="C18" s="2" t="s">
        <v>20</v>
      </c>
      <c r="D18" s="2" t="s">
        <v>21</v>
      </c>
      <c r="E18" s="2"/>
    </row>
    <row r="19" spans="1:5" x14ac:dyDescent="0.35">
      <c r="A19" s="18" t="s">
        <v>22</v>
      </c>
      <c r="B19" s="22">
        <f>COUNTIF(Inadimplencia!$K$5:$K$30,"Sim")</f>
        <v>12</v>
      </c>
      <c r="C19" s="19">
        <f>SUMIF(Inadimplencia!$K$5:$K$30,"Sim",Inadimplencia!$G$5:$G$30)</f>
        <v>107741.59</v>
      </c>
      <c r="D19" s="20">
        <f>C19/$C$21</f>
        <v>0.3282000264042681</v>
      </c>
      <c r="E19" s="18"/>
    </row>
    <row r="20" spans="1:5" x14ac:dyDescent="0.35">
      <c r="A20" s="18" t="s">
        <v>23</v>
      </c>
      <c r="B20" s="22">
        <f>COUNTIF(Inadimplencia!$K$5:$K$30,"Nao")</f>
        <v>14</v>
      </c>
      <c r="C20" s="19">
        <f>SUMIF(Inadimplencia!$K$5:$K$30,"Nao",Inadimplencia!$G$5:$G$30)</f>
        <v>220538.66999999998</v>
      </c>
      <c r="D20" s="20">
        <f>C20/$C$21</f>
        <v>0.67179997359573185</v>
      </c>
      <c r="E20" s="18"/>
    </row>
    <row r="21" spans="1:5" x14ac:dyDescent="0.35">
      <c r="A21" s="15" t="s">
        <v>24</v>
      </c>
      <c r="B21" s="16">
        <f>B19+B20</f>
        <v>26</v>
      </c>
      <c r="C21" s="17">
        <f>C19+C20</f>
        <v>328280.26</v>
      </c>
      <c r="D21" s="21">
        <f>C21/$C$21</f>
        <v>1</v>
      </c>
      <c r="E21" s="15"/>
    </row>
    <row r="25" spans="1:5" x14ac:dyDescent="0.35">
      <c r="A25" s="1" t="s">
        <v>25</v>
      </c>
    </row>
    <row r="26" spans="1:5" x14ac:dyDescent="0.35">
      <c r="A26" s="2" t="s">
        <v>26</v>
      </c>
      <c r="B26" s="2" t="s">
        <v>4</v>
      </c>
      <c r="C26" s="2" t="s">
        <v>27</v>
      </c>
      <c r="D26" s="2" t="s">
        <v>28</v>
      </c>
      <c r="E26" s="2"/>
    </row>
    <row r="27" spans="1:5" x14ac:dyDescent="0.35">
      <c r="A27" s="18" t="s">
        <v>29</v>
      </c>
      <c r="B27" s="22">
        <f>COUNTIF(Churn!$G$5:$G$32,$A27)</f>
        <v>4</v>
      </c>
      <c r="C27" s="19">
        <f>SUMIF(Churn!$G$5:$G$32,$A27,Churn!$E$5:$E$32)</f>
        <v>11020</v>
      </c>
      <c r="D27" s="19">
        <f>SUMIF(Churn!$G$5:$G$32,$A27,Churn!$H$5:$H$32)</f>
        <v>15000</v>
      </c>
      <c r="E27" s="18"/>
    </row>
    <row r="28" spans="1:5" x14ac:dyDescent="0.35">
      <c r="A28" s="18" t="s">
        <v>30</v>
      </c>
      <c r="B28" s="22">
        <f>COUNTIF(Churn!$G$5:$G$32,$A28)</f>
        <v>4</v>
      </c>
      <c r="C28" s="19">
        <f>SUMIF(Churn!$G$5:$G$32,$A28,Churn!$E$5:$E$32)</f>
        <v>8917.41</v>
      </c>
      <c r="D28" s="19">
        <f>SUMIF(Churn!$G$5:$G$32,$A28,Churn!$H$5:$H$32)</f>
        <v>0</v>
      </c>
      <c r="E28" s="18"/>
    </row>
    <row r="29" spans="1:5" x14ac:dyDescent="0.35">
      <c r="A29" s="18" t="s">
        <v>31</v>
      </c>
      <c r="B29" s="22">
        <f>COUNTIF(Churn!$G$5:$G$32,$A29)</f>
        <v>6</v>
      </c>
      <c r="C29" s="19">
        <f>SUMIF(Churn!$G$5:$G$32,$A29,Churn!$E$5:$E$32)</f>
        <v>7421.36</v>
      </c>
      <c r="D29" s="19">
        <f>SUMIF(Churn!$G$5:$G$32,$A29,Churn!$H$5:$H$32)</f>
        <v>0</v>
      </c>
      <c r="E29" s="18"/>
    </row>
    <row r="30" spans="1:5" x14ac:dyDescent="0.35">
      <c r="A30" s="18" t="s">
        <v>32</v>
      </c>
      <c r="B30" s="22">
        <f>COUNTIF(Churn!$G$5:$G$32,$A30)</f>
        <v>7</v>
      </c>
      <c r="C30" s="19">
        <f>SUMIF(Churn!$G$5:$G$32,$A30,Churn!$E$5:$E$32)</f>
        <v>5988.3999999999987</v>
      </c>
      <c r="D30" s="19">
        <f>SUMIF(Churn!$G$5:$G$32,$A30,Churn!$H$5:$H$32)</f>
        <v>0</v>
      </c>
      <c r="E30" s="18"/>
    </row>
    <row r="31" spans="1:5" x14ac:dyDescent="0.35">
      <c r="A31" s="18" t="s">
        <v>33</v>
      </c>
      <c r="B31" s="22">
        <f>COUNTIF(Churn!$G$5:$G$32,$A31)</f>
        <v>4</v>
      </c>
      <c r="C31" s="19">
        <f>SUMIF(Churn!$G$5:$G$32,$A31,Churn!$E$5:$E$32)</f>
        <v>5525.5499999999993</v>
      </c>
      <c r="D31" s="19">
        <f>SUMIF(Churn!$G$5:$G$32,$A31,Churn!$H$5:$H$32)</f>
        <v>0</v>
      </c>
      <c r="E31" s="18"/>
    </row>
    <row r="32" spans="1:5" x14ac:dyDescent="0.35">
      <c r="A32" s="18" t="s">
        <v>34</v>
      </c>
      <c r="B32" s="22">
        <f>COUNTIF(Churn!$G$5:$G$32,$A32)</f>
        <v>2</v>
      </c>
      <c r="C32" s="19">
        <f>SUMIF(Churn!$G$5:$G$32,$A32,Churn!$E$5:$E$32)</f>
        <v>4455.84</v>
      </c>
      <c r="D32" s="19">
        <f>SUMIF(Churn!$G$5:$G$32,$A32,Churn!$H$5:$H$32)</f>
        <v>0</v>
      </c>
      <c r="E32" s="18"/>
    </row>
    <row r="33" spans="1:5" x14ac:dyDescent="0.35">
      <c r="A33" s="18" t="s">
        <v>35</v>
      </c>
      <c r="B33" s="22">
        <f>COUNTIF(Churn!$G$5:$G$32,$A33)</f>
        <v>1</v>
      </c>
      <c r="C33" s="19">
        <f>SUMIF(Churn!$G$5:$G$32,$A33,Churn!$E$5:$E$32)</f>
        <v>700</v>
      </c>
      <c r="D33" s="19">
        <f>SUMIF(Churn!$G$5:$G$32,$A33,Churn!$H$5:$H$32)</f>
        <v>0</v>
      </c>
      <c r="E33" s="18"/>
    </row>
    <row r="34" spans="1:5" x14ac:dyDescent="0.35">
      <c r="A34" s="15" t="s">
        <v>36</v>
      </c>
      <c r="B34" s="16">
        <f>SUM(B27:B33)</f>
        <v>28</v>
      </c>
      <c r="C34" s="17">
        <f>SUM(C27:C33)</f>
        <v>44028.56</v>
      </c>
      <c r="D34" s="17">
        <f>SUM(D27:D33)</f>
        <v>15000</v>
      </c>
      <c r="E34" s="15"/>
    </row>
    <row r="37" spans="1:5" x14ac:dyDescent="0.35">
      <c r="A37" s="45" t="s">
        <v>37</v>
      </c>
      <c r="B37" s="44"/>
      <c r="C37" s="44"/>
      <c r="D37" s="44"/>
      <c r="E37" s="44"/>
    </row>
    <row r="38" spans="1:5" x14ac:dyDescent="0.35">
      <c r="A38" s="44"/>
      <c r="B38" s="44"/>
      <c r="C38" s="44"/>
      <c r="D38" s="44"/>
      <c r="E38" s="44"/>
    </row>
  </sheetData>
  <mergeCells count="3">
    <mergeCell ref="A2:E2"/>
    <mergeCell ref="A37:E38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" width="38" customWidth="1"/>
    <col min="3" max="3" width="17" customWidth="1"/>
    <col min="4" max="4" width="13" customWidth="1"/>
    <col min="5" max="7" width="15" customWidth="1"/>
    <col min="8" max="9" width="9" customWidth="1"/>
    <col min="10" max="10" width="13" customWidth="1"/>
    <col min="11" max="11" width="10" customWidth="1"/>
    <col min="12" max="12" width="19" customWidth="1"/>
    <col min="13" max="14" width="15" customWidth="1"/>
    <col min="15" max="15" width="22" customWidth="1"/>
    <col min="16" max="16" width="45" customWidth="1"/>
    <col min="17" max="17" width="85" customWidth="1"/>
  </cols>
  <sheetData>
    <row r="1" spans="1:17" ht="22" customHeight="1" x14ac:dyDescent="0.4">
      <c r="A1" s="46" t="s">
        <v>38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x14ac:dyDescent="0.35">
      <c r="A2" s="43" t="s">
        <v>39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</row>
    <row r="3" spans="1:17" ht="6" customHeight="1" x14ac:dyDescent="0.35"/>
    <row r="4" spans="1:17" ht="30" customHeight="1" x14ac:dyDescent="0.35">
      <c r="A4" s="2" t="s">
        <v>40</v>
      </c>
      <c r="B4" s="2" t="s">
        <v>41</v>
      </c>
      <c r="C4" s="2" t="s">
        <v>42</v>
      </c>
      <c r="D4" s="2" t="s">
        <v>43</v>
      </c>
      <c r="E4" s="2" t="s">
        <v>44</v>
      </c>
      <c r="F4" s="2" t="s">
        <v>45</v>
      </c>
      <c r="G4" s="2" t="s">
        <v>18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3</v>
      </c>
      <c r="M4" s="2" t="s">
        <v>6</v>
      </c>
      <c r="N4" s="2" t="s">
        <v>7</v>
      </c>
      <c r="O4" s="2" t="s">
        <v>50</v>
      </c>
      <c r="P4" s="2" t="s">
        <v>51</v>
      </c>
      <c r="Q4" s="2" t="s">
        <v>52</v>
      </c>
    </row>
    <row r="5" spans="1:17" ht="37.5" x14ac:dyDescent="0.35">
      <c r="A5" s="23" t="s">
        <v>53</v>
      </c>
      <c r="B5" s="23" t="s">
        <v>54</v>
      </c>
      <c r="C5" s="23" t="s">
        <v>55</v>
      </c>
      <c r="D5" s="24">
        <v>4467.33</v>
      </c>
      <c r="E5" s="24">
        <v>0</v>
      </c>
      <c r="F5" s="24">
        <v>58075.29</v>
      </c>
      <c r="G5" s="24">
        <f t="shared" ref="G5:G30" si="0">E5+F5</f>
        <v>58075.29</v>
      </c>
      <c r="H5" s="23">
        <v>13</v>
      </c>
      <c r="I5" s="23">
        <v>366</v>
      </c>
      <c r="J5" s="25">
        <v>45901</v>
      </c>
      <c r="K5" s="23" t="s">
        <v>56</v>
      </c>
      <c r="L5" s="23" t="s">
        <v>11</v>
      </c>
      <c r="M5" s="24">
        <v>0</v>
      </c>
      <c r="N5" s="24">
        <f t="shared" ref="N5:N30" si="1">G5-M5</f>
        <v>58075.29</v>
      </c>
      <c r="O5" s="23" t="s">
        <v>57</v>
      </c>
      <c r="P5" s="26" t="s">
        <v>58</v>
      </c>
      <c r="Q5" s="26" t="s">
        <v>59</v>
      </c>
    </row>
    <row r="6" spans="1:17" ht="37.5" x14ac:dyDescent="0.35">
      <c r="A6" s="23" t="s">
        <v>60</v>
      </c>
      <c r="B6" s="23" t="s">
        <v>61</v>
      </c>
      <c r="C6" s="23" t="s">
        <v>55</v>
      </c>
      <c r="D6" s="24">
        <v>8758.44</v>
      </c>
      <c r="E6" s="24">
        <v>0</v>
      </c>
      <c r="F6" s="24">
        <v>43792.2</v>
      </c>
      <c r="G6" s="24">
        <f t="shared" si="0"/>
        <v>43792.2</v>
      </c>
      <c r="H6" s="23">
        <v>5</v>
      </c>
      <c r="I6" s="23">
        <v>219</v>
      </c>
      <c r="J6" s="25">
        <v>46111</v>
      </c>
      <c r="K6" s="23" t="s">
        <v>56</v>
      </c>
      <c r="L6" s="23" t="s">
        <v>11</v>
      </c>
      <c r="M6" s="24">
        <v>0</v>
      </c>
      <c r="N6" s="24">
        <f t="shared" si="1"/>
        <v>43792.2</v>
      </c>
      <c r="O6" s="23" t="s">
        <v>62</v>
      </c>
      <c r="P6" s="26" t="s">
        <v>58</v>
      </c>
      <c r="Q6" s="26" t="s">
        <v>63</v>
      </c>
    </row>
    <row r="7" spans="1:17" ht="37.5" x14ac:dyDescent="0.35">
      <c r="A7" s="23" t="s">
        <v>64</v>
      </c>
      <c r="B7" s="23" t="s">
        <v>65</v>
      </c>
      <c r="C7" s="23" t="s">
        <v>55</v>
      </c>
      <c r="D7" s="24">
        <v>3098.61</v>
      </c>
      <c r="E7" s="24">
        <v>0</v>
      </c>
      <c r="F7" s="24">
        <v>35736.480000000003</v>
      </c>
      <c r="G7" s="24">
        <f t="shared" si="0"/>
        <v>35736.480000000003</v>
      </c>
      <c r="H7" s="23">
        <v>8</v>
      </c>
      <c r="I7" s="23">
        <v>194</v>
      </c>
      <c r="J7" s="25">
        <v>46023</v>
      </c>
      <c r="K7" s="23" t="s">
        <v>66</v>
      </c>
      <c r="L7" s="23" t="s">
        <v>11</v>
      </c>
      <c r="M7" s="24">
        <v>0</v>
      </c>
      <c r="N7" s="24">
        <f t="shared" si="1"/>
        <v>35736.480000000003</v>
      </c>
      <c r="O7" s="23" t="s">
        <v>67</v>
      </c>
      <c r="P7" s="26" t="s">
        <v>68</v>
      </c>
      <c r="Q7" s="26" t="s">
        <v>69</v>
      </c>
    </row>
    <row r="8" spans="1:17" ht="37.5" x14ac:dyDescent="0.35">
      <c r="A8" s="23" t="s">
        <v>70</v>
      </c>
      <c r="B8" s="23" t="s">
        <v>71</v>
      </c>
      <c r="C8" s="23" t="s">
        <v>55</v>
      </c>
      <c r="D8" s="24">
        <v>2202.9699999999998</v>
      </c>
      <c r="E8" s="24">
        <v>2067.4699999999998</v>
      </c>
      <c r="F8" s="24">
        <v>22029.7</v>
      </c>
      <c r="G8" s="24">
        <f t="shared" si="0"/>
        <v>24097.170000000002</v>
      </c>
      <c r="H8" s="23">
        <v>10</v>
      </c>
      <c r="I8" s="23">
        <v>378</v>
      </c>
      <c r="J8" s="25">
        <v>37591</v>
      </c>
      <c r="K8" s="23" t="s">
        <v>56</v>
      </c>
      <c r="L8" s="23" t="s">
        <v>11</v>
      </c>
      <c r="M8" s="24">
        <v>0</v>
      </c>
      <c r="N8" s="24">
        <f t="shared" si="1"/>
        <v>24097.170000000002</v>
      </c>
      <c r="O8" s="23" t="s">
        <v>67</v>
      </c>
      <c r="P8" s="26" t="s">
        <v>58</v>
      </c>
      <c r="Q8" s="26" t="s">
        <v>72</v>
      </c>
    </row>
    <row r="9" spans="1:17" ht="50" x14ac:dyDescent="0.35">
      <c r="A9" s="27" t="s">
        <v>73</v>
      </c>
      <c r="B9" s="27" t="s">
        <v>74</v>
      </c>
      <c r="C9" s="27" t="s">
        <v>75</v>
      </c>
      <c r="D9" s="28">
        <v>2500</v>
      </c>
      <c r="E9" s="28">
        <v>20862.900000000001</v>
      </c>
      <c r="F9" s="28">
        <v>0</v>
      </c>
      <c r="G9" s="28">
        <f t="shared" si="0"/>
        <v>20862.900000000001</v>
      </c>
      <c r="H9" s="27">
        <v>0</v>
      </c>
      <c r="I9" s="27">
        <v>64</v>
      </c>
      <c r="J9" s="29">
        <v>46259</v>
      </c>
      <c r="K9" s="27" t="s">
        <v>66</v>
      </c>
      <c r="L9" s="27" t="s">
        <v>9</v>
      </c>
      <c r="M9" s="28">
        <v>20862.900000000001</v>
      </c>
      <c r="N9" s="28">
        <f t="shared" si="1"/>
        <v>0</v>
      </c>
      <c r="O9" s="27" t="s">
        <v>67</v>
      </c>
      <c r="P9" s="30" t="s">
        <v>76</v>
      </c>
      <c r="Q9" s="30" t="s">
        <v>77</v>
      </c>
    </row>
    <row r="10" spans="1:17" ht="37.5" x14ac:dyDescent="0.35">
      <c r="A10" s="23" t="s">
        <v>78</v>
      </c>
      <c r="B10" s="23" t="s">
        <v>79</v>
      </c>
      <c r="C10" s="23" t="s">
        <v>75</v>
      </c>
      <c r="D10" s="24">
        <v>10686.36</v>
      </c>
      <c r="E10" s="24">
        <v>14877.45</v>
      </c>
      <c r="F10" s="24">
        <v>1781.06</v>
      </c>
      <c r="G10" s="24">
        <f t="shared" si="0"/>
        <v>16658.510000000002</v>
      </c>
      <c r="H10" s="23">
        <v>2</v>
      </c>
      <c r="I10" s="23">
        <v>406</v>
      </c>
      <c r="J10" s="25">
        <v>45901</v>
      </c>
      <c r="K10" s="23" t="s">
        <v>56</v>
      </c>
      <c r="L10" s="23" t="s">
        <v>11</v>
      </c>
      <c r="M10" s="24">
        <v>0</v>
      </c>
      <c r="N10" s="24">
        <f t="shared" si="1"/>
        <v>16658.510000000002</v>
      </c>
      <c r="O10" s="23" t="s">
        <v>67</v>
      </c>
      <c r="P10" s="26" t="s">
        <v>58</v>
      </c>
      <c r="Q10" s="26" t="s">
        <v>80</v>
      </c>
    </row>
    <row r="11" spans="1:17" ht="37.5" x14ac:dyDescent="0.35">
      <c r="A11" s="23" t="s">
        <v>81</v>
      </c>
      <c r="B11" s="23" t="s">
        <v>82</v>
      </c>
      <c r="C11" s="23" t="s">
        <v>75</v>
      </c>
      <c r="D11" s="24">
        <v>902.5</v>
      </c>
      <c r="E11" s="24">
        <v>9610</v>
      </c>
      <c r="F11" s="24">
        <v>6317.5</v>
      </c>
      <c r="G11" s="24">
        <f t="shared" si="0"/>
        <v>15927.5</v>
      </c>
      <c r="H11" s="23">
        <v>7</v>
      </c>
      <c r="I11" s="23">
        <v>278</v>
      </c>
      <c r="J11" s="25">
        <v>46050</v>
      </c>
      <c r="K11" s="23" t="s">
        <v>56</v>
      </c>
      <c r="L11" s="23" t="s">
        <v>11</v>
      </c>
      <c r="M11" s="24">
        <v>0</v>
      </c>
      <c r="N11" s="24">
        <f t="shared" si="1"/>
        <v>15927.5</v>
      </c>
      <c r="O11" s="23" t="s">
        <v>67</v>
      </c>
      <c r="P11" s="26" t="s">
        <v>83</v>
      </c>
      <c r="Q11" s="26" t="s">
        <v>84</v>
      </c>
    </row>
    <row r="12" spans="1:17" ht="25" x14ac:dyDescent="0.35">
      <c r="A12" s="23" t="s">
        <v>85</v>
      </c>
      <c r="B12" s="23" t="s">
        <v>86</v>
      </c>
      <c r="C12" s="23" t="s">
        <v>75</v>
      </c>
      <c r="D12" s="24">
        <v>750</v>
      </c>
      <c r="E12" s="24">
        <v>9000</v>
      </c>
      <c r="F12" s="24">
        <v>6000</v>
      </c>
      <c r="G12" s="24">
        <f t="shared" si="0"/>
        <v>15000</v>
      </c>
      <c r="H12" s="23">
        <v>8</v>
      </c>
      <c r="I12" s="23">
        <v>333</v>
      </c>
      <c r="J12" s="25">
        <v>46054</v>
      </c>
      <c r="K12" s="23" t="s">
        <v>56</v>
      </c>
      <c r="L12" s="23" t="s">
        <v>11</v>
      </c>
      <c r="M12" s="24">
        <v>0</v>
      </c>
      <c r="N12" s="24">
        <f t="shared" si="1"/>
        <v>15000</v>
      </c>
      <c r="O12" s="23" t="s">
        <v>67</v>
      </c>
      <c r="P12" s="26" t="s">
        <v>87</v>
      </c>
      <c r="Q12" s="26" t="s">
        <v>88</v>
      </c>
    </row>
    <row r="13" spans="1:17" ht="25" x14ac:dyDescent="0.35">
      <c r="A13" s="23" t="s">
        <v>89</v>
      </c>
      <c r="B13" s="23" t="s">
        <v>90</v>
      </c>
      <c r="C13" s="23" t="s">
        <v>75</v>
      </c>
      <c r="D13" s="24">
        <v>1580</v>
      </c>
      <c r="E13" s="24">
        <v>5959.02</v>
      </c>
      <c r="F13" s="24">
        <v>7900</v>
      </c>
      <c r="G13" s="24">
        <f t="shared" si="0"/>
        <v>13859.02</v>
      </c>
      <c r="H13" s="23">
        <v>5</v>
      </c>
      <c r="I13" s="23">
        <v>125</v>
      </c>
      <c r="J13" s="25">
        <v>46094</v>
      </c>
      <c r="K13" s="23" t="s">
        <v>66</v>
      </c>
      <c r="L13" s="23" t="s">
        <v>11</v>
      </c>
      <c r="M13" s="24">
        <v>0</v>
      </c>
      <c r="N13" s="24">
        <f t="shared" si="1"/>
        <v>13859.02</v>
      </c>
      <c r="O13" s="23" t="s">
        <v>67</v>
      </c>
      <c r="P13" s="26" t="s">
        <v>91</v>
      </c>
      <c r="Q13" s="26" t="s">
        <v>92</v>
      </c>
    </row>
    <row r="14" spans="1:17" ht="37.5" x14ac:dyDescent="0.35">
      <c r="A14" s="23" t="s">
        <v>93</v>
      </c>
      <c r="B14" s="23" t="s">
        <v>94</v>
      </c>
      <c r="C14" s="23" t="s">
        <v>55</v>
      </c>
      <c r="D14" s="24">
        <v>3380.27</v>
      </c>
      <c r="E14" s="24">
        <v>0</v>
      </c>
      <c r="F14" s="24">
        <v>13521.08</v>
      </c>
      <c r="G14" s="24">
        <f t="shared" si="0"/>
        <v>13521.08</v>
      </c>
      <c r="H14" s="23">
        <v>4</v>
      </c>
      <c r="I14" s="23">
        <v>96</v>
      </c>
      <c r="J14" s="25">
        <v>46128</v>
      </c>
      <c r="K14" s="23" t="s">
        <v>56</v>
      </c>
      <c r="L14" s="23" t="s">
        <v>11</v>
      </c>
      <c r="M14" s="24">
        <v>0</v>
      </c>
      <c r="N14" s="24">
        <f t="shared" si="1"/>
        <v>13521.08</v>
      </c>
      <c r="O14" s="23" t="s">
        <v>62</v>
      </c>
      <c r="P14" s="26" t="s">
        <v>58</v>
      </c>
      <c r="Q14" s="26" t="s">
        <v>95</v>
      </c>
    </row>
    <row r="15" spans="1:17" ht="37.5" x14ac:dyDescent="0.35">
      <c r="A15" s="23" t="s">
        <v>96</v>
      </c>
      <c r="B15" s="23" t="s">
        <v>97</v>
      </c>
      <c r="C15" s="23" t="s">
        <v>55</v>
      </c>
      <c r="D15" s="24">
        <v>4204.55</v>
      </c>
      <c r="E15" s="24">
        <v>0</v>
      </c>
      <c r="F15" s="24">
        <v>10688.86</v>
      </c>
      <c r="G15" s="24">
        <f t="shared" si="0"/>
        <v>10688.86</v>
      </c>
      <c r="H15" s="23">
        <v>2</v>
      </c>
      <c r="I15" s="23">
        <v>160</v>
      </c>
      <c r="J15" s="25">
        <v>46086</v>
      </c>
      <c r="K15" s="23" t="s">
        <v>56</v>
      </c>
      <c r="L15" s="23" t="s">
        <v>11</v>
      </c>
      <c r="M15" s="24">
        <v>0</v>
      </c>
      <c r="N15" s="24">
        <f t="shared" si="1"/>
        <v>10688.86</v>
      </c>
      <c r="O15" s="23" t="s">
        <v>62</v>
      </c>
      <c r="P15" s="26" t="s">
        <v>58</v>
      </c>
      <c r="Q15" s="26" t="s">
        <v>98</v>
      </c>
    </row>
    <row r="16" spans="1:17" ht="37.5" x14ac:dyDescent="0.35">
      <c r="A16" s="27" t="s">
        <v>99</v>
      </c>
      <c r="B16" s="27" t="s">
        <v>100</v>
      </c>
      <c r="C16" s="27" t="s">
        <v>55</v>
      </c>
      <c r="D16" s="28">
        <v>4876.6000000000004</v>
      </c>
      <c r="E16" s="28">
        <v>0</v>
      </c>
      <c r="F16" s="28">
        <v>9753.2000000000007</v>
      </c>
      <c r="G16" s="28">
        <f t="shared" si="0"/>
        <v>9753.2000000000007</v>
      </c>
      <c r="H16" s="27">
        <v>2</v>
      </c>
      <c r="I16" s="27">
        <v>145</v>
      </c>
      <c r="J16" s="29">
        <v>46034</v>
      </c>
      <c r="K16" s="27" t="s">
        <v>66</v>
      </c>
      <c r="L16" s="27" t="s">
        <v>9</v>
      </c>
      <c r="M16" s="28">
        <v>9753.2000000000007</v>
      </c>
      <c r="N16" s="28">
        <f t="shared" si="1"/>
        <v>0</v>
      </c>
      <c r="O16" s="27" t="s">
        <v>101</v>
      </c>
      <c r="P16" s="30" t="s">
        <v>102</v>
      </c>
      <c r="Q16" s="30" t="s">
        <v>103</v>
      </c>
    </row>
    <row r="17" spans="1:17" ht="37.5" x14ac:dyDescent="0.35">
      <c r="A17" s="23" t="s">
        <v>104</v>
      </c>
      <c r="B17" s="23" t="s">
        <v>105</v>
      </c>
      <c r="C17" s="23" t="s">
        <v>75</v>
      </c>
      <c r="D17" s="24">
        <v>1500</v>
      </c>
      <c r="E17" s="24">
        <v>9000</v>
      </c>
      <c r="F17" s="24">
        <v>0</v>
      </c>
      <c r="G17" s="24">
        <f t="shared" si="0"/>
        <v>9000</v>
      </c>
      <c r="H17" s="23">
        <v>0</v>
      </c>
      <c r="I17" s="23">
        <v>60</v>
      </c>
      <c r="J17" s="25">
        <v>46261</v>
      </c>
      <c r="K17" s="23" t="s">
        <v>56</v>
      </c>
      <c r="L17" s="23" t="s">
        <v>11</v>
      </c>
      <c r="M17" s="24">
        <v>0</v>
      </c>
      <c r="N17" s="24">
        <f t="shared" si="1"/>
        <v>9000</v>
      </c>
      <c r="O17" s="23" t="s">
        <v>106</v>
      </c>
      <c r="P17" s="26" t="s">
        <v>107</v>
      </c>
      <c r="Q17" s="26" t="s">
        <v>108</v>
      </c>
    </row>
    <row r="18" spans="1:17" ht="25" x14ac:dyDescent="0.35">
      <c r="A18" s="23" t="s">
        <v>109</v>
      </c>
      <c r="B18" s="23" t="s">
        <v>110</v>
      </c>
      <c r="C18" s="23" t="s">
        <v>75</v>
      </c>
      <c r="D18" s="24">
        <v>565.05999999999995</v>
      </c>
      <c r="E18" s="24">
        <v>6780.76</v>
      </c>
      <c r="F18" s="24">
        <v>565.1</v>
      </c>
      <c r="G18" s="24">
        <f t="shared" si="0"/>
        <v>7345.8600000000006</v>
      </c>
      <c r="H18" s="23">
        <v>1</v>
      </c>
      <c r="I18" s="23">
        <v>357</v>
      </c>
      <c r="J18" s="25">
        <v>45931</v>
      </c>
      <c r="K18" s="23" t="s">
        <v>66</v>
      </c>
      <c r="L18" s="23" t="s">
        <v>11</v>
      </c>
      <c r="M18" s="24">
        <v>0</v>
      </c>
      <c r="N18" s="24">
        <f t="shared" si="1"/>
        <v>7345.8600000000006</v>
      </c>
      <c r="O18" s="23" t="s">
        <v>67</v>
      </c>
      <c r="P18" s="26" t="s">
        <v>111</v>
      </c>
      <c r="Q18" s="26" t="s">
        <v>112</v>
      </c>
    </row>
    <row r="19" spans="1:17" ht="237.5" x14ac:dyDescent="0.35">
      <c r="A19" s="31" t="s">
        <v>113</v>
      </c>
      <c r="B19" s="31" t="s">
        <v>114</v>
      </c>
      <c r="C19" s="31" t="s">
        <v>75</v>
      </c>
      <c r="D19" s="32">
        <v>850</v>
      </c>
      <c r="E19" s="32">
        <v>1700</v>
      </c>
      <c r="F19" s="32">
        <v>4250</v>
      </c>
      <c r="G19" s="32">
        <f t="shared" si="0"/>
        <v>5950</v>
      </c>
      <c r="H19" s="31">
        <v>5</v>
      </c>
      <c r="I19" s="31">
        <v>409</v>
      </c>
      <c r="J19" s="33">
        <v>46114</v>
      </c>
      <c r="K19" s="31" t="s">
        <v>66</v>
      </c>
      <c r="L19" s="31" t="s">
        <v>10</v>
      </c>
      <c r="M19" s="32">
        <v>1700</v>
      </c>
      <c r="N19" s="32">
        <f t="shared" si="1"/>
        <v>4250</v>
      </c>
      <c r="O19" s="31" t="s">
        <v>67</v>
      </c>
      <c r="P19" s="34" t="s">
        <v>115</v>
      </c>
      <c r="Q19" s="34" t="s">
        <v>116</v>
      </c>
    </row>
    <row r="20" spans="1:17" ht="37.5" x14ac:dyDescent="0.35">
      <c r="A20" s="23" t="s">
        <v>117</v>
      </c>
      <c r="B20" s="23" t="s">
        <v>118</v>
      </c>
      <c r="C20" s="23" t="s">
        <v>55</v>
      </c>
      <c r="D20" s="24">
        <v>1784.94</v>
      </c>
      <c r="E20" s="24">
        <v>4955.97</v>
      </c>
      <c r="F20" s="24">
        <v>0</v>
      </c>
      <c r="G20" s="24">
        <f t="shared" si="0"/>
        <v>4955.97</v>
      </c>
      <c r="H20" s="23">
        <v>0</v>
      </c>
      <c r="I20" s="23">
        <v>44</v>
      </c>
      <c r="J20" s="25">
        <v>46259</v>
      </c>
      <c r="K20" s="23" t="s">
        <v>56</v>
      </c>
      <c r="L20" s="23" t="s">
        <v>11</v>
      </c>
      <c r="M20" s="24">
        <v>0</v>
      </c>
      <c r="N20" s="24">
        <f t="shared" si="1"/>
        <v>4955.97</v>
      </c>
      <c r="O20" s="23" t="s">
        <v>67</v>
      </c>
      <c r="P20" s="26" t="s">
        <v>58</v>
      </c>
      <c r="Q20" s="26" t="s">
        <v>119</v>
      </c>
    </row>
    <row r="21" spans="1:17" ht="37.5" x14ac:dyDescent="0.35">
      <c r="A21" s="23" t="s">
        <v>120</v>
      </c>
      <c r="B21" s="23" t="s">
        <v>121</v>
      </c>
      <c r="C21" s="23" t="s">
        <v>75</v>
      </c>
      <c r="D21" s="24">
        <v>373</v>
      </c>
      <c r="E21" s="24">
        <v>2611</v>
      </c>
      <c r="F21" s="24">
        <v>1865</v>
      </c>
      <c r="G21" s="24">
        <f t="shared" si="0"/>
        <v>4476</v>
      </c>
      <c r="H21" s="23">
        <v>5</v>
      </c>
      <c r="I21" s="23">
        <v>327</v>
      </c>
      <c r="J21" s="25">
        <v>45809</v>
      </c>
      <c r="K21" s="23" t="s">
        <v>56</v>
      </c>
      <c r="L21" s="23" t="s">
        <v>11</v>
      </c>
      <c r="M21" s="24">
        <v>0</v>
      </c>
      <c r="N21" s="24">
        <f t="shared" si="1"/>
        <v>4476</v>
      </c>
      <c r="O21" s="23" t="s">
        <v>67</v>
      </c>
      <c r="P21" s="26" t="s">
        <v>122</v>
      </c>
      <c r="Q21" s="26" t="s">
        <v>123</v>
      </c>
    </row>
    <row r="22" spans="1:17" ht="25" x14ac:dyDescent="0.35">
      <c r="A22" s="27" t="s">
        <v>124</v>
      </c>
      <c r="B22" s="27" t="s">
        <v>125</v>
      </c>
      <c r="C22" s="27" t="s">
        <v>75</v>
      </c>
      <c r="D22" s="28">
        <v>1398.65</v>
      </c>
      <c r="E22" s="28">
        <v>2797.3</v>
      </c>
      <c r="F22" s="28">
        <v>0</v>
      </c>
      <c r="G22" s="28">
        <f t="shared" si="0"/>
        <v>2797.3</v>
      </c>
      <c r="H22" s="27">
        <v>0</v>
      </c>
      <c r="I22" s="27">
        <v>37</v>
      </c>
      <c r="J22" s="29">
        <v>46261</v>
      </c>
      <c r="K22" s="27" t="s">
        <v>66</v>
      </c>
      <c r="L22" s="27" t="s">
        <v>9</v>
      </c>
      <c r="M22" s="28">
        <v>2797.3</v>
      </c>
      <c r="N22" s="28">
        <f t="shared" si="1"/>
        <v>0</v>
      </c>
      <c r="O22" s="27" t="s">
        <v>106</v>
      </c>
      <c r="P22" s="30" t="s">
        <v>126</v>
      </c>
      <c r="Q22" s="30" t="s">
        <v>127</v>
      </c>
    </row>
    <row r="23" spans="1:17" ht="25" x14ac:dyDescent="0.35">
      <c r="A23" s="35" t="s">
        <v>128</v>
      </c>
      <c r="B23" s="35" t="s">
        <v>129</v>
      </c>
      <c r="C23" s="35" t="s">
        <v>75</v>
      </c>
      <c r="D23" s="36">
        <v>650</v>
      </c>
      <c r="E23" s="36">
        <v>2600</v>
      </c>
      <c r="F23" s="36">
        <v>0</v>
      </c>
      <c r="G23" s="36">
        <f t="shared" si="0"/>
        <v>2600</v>
      </c>
      <c r="H23" s="35">
        <v>0</v>
      </c>
      <c r="I23" s="35">
        <v>96</v>
      </c>
      <c r="J23" s="37">
        <v>46259</v>
      </c>
      <c r="K23" s="35" t="s">
        <v>66</v>
      </c>
      <c r="L23" s="35" t="s">
        <v>8</v>
      </c>
      <c r="M23" s="36">
        <v>2600</v>
      </c>
      <c r="N23" s="36">
        <f t="shared" si="1"/>
        <v>0</v>
      </c>
      <c r="O23" s="35" t="s">
        <v>67</v>
      </c>
      <c r="P23" s="38" t="s">
        <v>130</v>
      </c>
      <c r="Q23" s="38" t="s">
        <v>131</v>
      </c>
    </row>
    <row r="24" spans="1:17" ht="25" x14ac:dyDescent="0.35">
      <c r="A24" s="35" t="s">
        <v>132</v>
      </c>
      <c r="B24" s="35" t="s">
        <v>133</v>
      </c>
      <c r="C24" s="35" t="s">
        <v>75</v>
      </c>
      <c r="D24" s="36">
        <v>565</v>
      </c>
      <c r="E24" s="36">
        <v>2531.6799999999998</v>
      </c>
      <c r="F24" s="36">
        <v>0</v>
      </c>
      <c r="G24" s="36">
        <f t="shared" si="0"/>
        <v>2531.6799999999998</v>
      </c>
      <c r="H24" s="35">
        <v>0</v>
      </c>
      <c r="I24" s="35">
        <v>100</v>
      </c>
      <c r="J24" s="37">
        <v>46259</v>
      </c>
      <c r="K24" s="35" t="s">
        <v>66</v>
      </c>
      <c r="L24" s="35" t="s">
        <v>8</v>
      </c>
      <c r="M24" s="36">
        <v>2531.6799999999998</v>
      </c>
      <c r="N24" s="36">
        <f t="shared" si="1"/>
        <v>0</v>
      </c>
      <c r="O24" s="35" t="s">
        <v>67</v>
      </c>
      <c r="P24" s="38" t="s">
        <v>130</v>
      </c>
      <c r="Q24" s="38" t="s">
        <v>134</v>
      </c>
    </row>
    <row r="25" spans="1:17" ht="25" x14ac:dyDescent="0.35">
      <c r="A25" s="35" t="s">
        <v>135</v>
      </c>
      <c r="B25" s="35" t="s">
        <v>136</v>
      </c>
      <c r="C25" s="35" t="s">
        <v>55</v>
      </c>
      <c r="D25" s="36">
        <v>1261.92</v>
      </c>
      <c r="E25" s="36">
        <v>2523.84</v>
      </c>
      <c r="F25" s="36">
        <v>0</v>
      </c>
      <c r="G25" s="36">
        <f t="shared" si="0"/>
        <v>2523.84</v>
      </c>
      <c r="H25" s="35">
        <v>0</v>
      </c>
      <c r="I25" s="35">
        <v>59</v>
      </c>
      <c r="J25" s="37">
        <v>46259</v>
      </c>
      <c r="K25" s="35" t="s">
        <v>66</v>
      </c>
      <c r="L25" s="35" t="s">
        <v>8</v>
      </c>
      <c r="M25" s="36">
        <v>2523.84</v>
      </c>
      <c r="N25" s="36">
        <f t="shared" si="1"/>
        <v>0</v>
      </c>
      <c r="O25" s="35" t="s">
        <v>67</v>
      </c>
      <c r="P25" s="38" t="s">
        <v>137</v>
      </c>
      <c r="Q25" s="38" t="s">
        <v>138</v>
      </c>
    </row>
    <row r="26" spans="1:17" ht="62.5" x14ac:dyDescent="0.35">
      <c r="A26" s="23" t="s">
        <v>139</v>
      </c>
      <c r="B26" s="23" t="s">
        <v>140</v>
      </c>
      <c r="C26" s="23" t="s">
        <v>55</v>
      </c>
      <c r="D26" s="24">
        <v>1200</v>
      </c>
      <c r="E26" s="24">
        <v>2400</v>
      </c>
      <c r="F26" s="24">
        <v>0</v>
      </c>
      <c r="G26" s="24">
        <f t="shared" si="0"/>
        <v>2400</v>
      </c>
      <c r="H26" s="23">
        <v>0</v>
      </c>
      <c r="I26" s="23">
        <v>53</v>
      </c>
      <c r="J26" s="25">
        <v>46259</v>
      </c>
      <c r="K26" s="23" t="s">
        <v>66</v>
      </c>
      <c r="L26" s="23" t="s">
        <v>11</v>
      </c>
      <c r="M26" s="24">
        <v>0</v>
      </c>
      <c r="N26" s="24">
        <f t="shared" si="1"/>
        <v>2400</v>
      </c>
      <c r="O26" s="23" t="s">
        <v>67</v>
      </c>
      <c r="P26" s="26" t="s">
        <v>141</v>
      </c>
      <c r="Q26" s="26" t="s">
        <v>142</v>
      </c>
    </row>
    <row r="27" spans="1:17" ht="25" x14ac:dyDescent="0.35">
      <c r="A27" s="23" t="s">
        <v>143</v>
      </c>
      <c r="B27" s="23" t="s">
        <v>144</v>
      </c>
      <c r="C27" s="23" t="s">
        <v>75</v>
      </c>
      <c r="D27" s="24">
        <v>491.6</v>
      </c>
      <c r="E27" s="24">
        <v>1474.8</v>
      </c>
      <c r="F27" s="24">
        <v>491.6</v>
      </c>
      <c r="G27" s="24">
        <f t="shared" si="0"/>
        <v>1966.4</v>
      </c>
      <c r="H27" s="23">
        <v>1</v>
      </c>
      <c r="I27" s="23">
        <v>96</v>
      </c>
      <c r="J27" s="25">
        <v>46204</v>
      </c>
      <c r="K27" s="23" t="s">
        <v>56</v>
      </c>
      <c r="L27" s="23" t="s">
        <v>11</v>
      </c>
      <c r="M27" s="24">
        <v>0</v>
      </c>
      <c r="N27" s="24">
        <f t="shared" si="1"/>
        <v>1966.4</v>
      </c>
      <c r="O27" s="23" t="s">
        <v>67</v>
      </c>
      <c r="P27" s="26" t="s">
        <v>145</v>
      </c>
      <c r="Q27" s="26" t="s">
        <v>146</v>
      </c>
    </row>
    <row r="28" spans="1:17" ht="50" x14ac:dyDescent="0.35">
      <c r="A28" s="23" t="s">
        <v>147</v>
      </c>
      <c r="B28" s="23" t="s">
        <v>148</v>
      </c>
      <c r="C28" s="23" t="s">
        <v>75</v>
      </c>
      <c r="D28" s="24">
        <v>423.01</v>
      </c>
      <c r="E28" s="24">
        <v>1678.29</v>
      </c>
      <c r="F28" s="24">
        <v>0</v>
      </c>
      <c r="G28" s="24">
        <f t="shared" si="0"/>
        <v>1678.29</v>
      </c>
      <c r="H28" s="23">
        <v>0</v>
      </c>
      <c r="I28" s="23">
        <v>217</v>
      </c>
      <c r="J28" s="25">
        <v>46225</v>
      </c>
      <c r="K28" s="23" t="s">
        <v>56</v>
      </c>
      <c r="L28" s="23" t="s">
        <v>11</v>
      </c>
      <c r="M28" s="24">
        <v>0</v>
      </c>
      <c r="N28" s="24">
        <f t="shared" si="1"/>
        <v>1678.29</v>
      </c>
      <c r="O28" s="23" t="s">
        <v>67</v>
      </c>
      <c r="P28" s="26" t="s">
        <v>149</v>
      </c>
      <c r="Q28" s="26" t="s">
        <v>150</v>
      </c>
    </row>
    <row r="29" spans="1:17" ht="37.5" x14ac:dyDescent="0.35">
      <c r="A29" s="27" t="s">
        <v>151</v>
      </c>
      <c r="B29" s="27" t="s">
        <v>152</v>
      </c>
      <c r="C29" s="27" t="s">
        <v>75</v>
      </c>
      <c r="D29" s="28">
        <v>427.11</v>
      </c>
      <c r="E29" s="28">
        <v>1381.31</v>
      </c>
      <c r="F29" s="28">
        <v>0</v>
      </c>
      <c r="G29" s="28">
        <f t="shared" si="0"/>
        <v>1381.31</v>
      </c>
      <c r="H29" s="27">
        <v>0</v>
      </c>
      <c r="I29" s="27">
        <v>105</v>
      </c>
      <c r="J29" s="29">
        <v>46259</v>
      </c>
      <c r="K29" s="27" t="s">
        <v>66</v>
      </c>
      <c r="L29" s="27" t="s">
        <v>9</v>
      </c>
      <c r="M29" s="28">
        <v>1381.31</v>
      </c>
      <c r="N29" s="28">
        <f t="shared" si="1"/>
        <v>0</v>
      </c>
      <c r="O29" s="27" t="s">
        <v>67</v>
      </c>
      <c r="P29" s="30" t="s">
        <v>153</v>
      </c>
      <c r="Q29" s="30" t="s">
        <v>154</v>
      </c>
    </row>
    <row r="30" spans="1:17" ht="50" x14ac:dyDescent="0.35">
      <c r="A30" s="23" t="s">
        <v>155</v>
      </c>
      <c r="B30" s="23" t="s">
        <v>156</v>
      </c>
      <c r="C30" s="23" t="s">
        <v>75</v>
      </c>
      <c r="D30" s="24">
        <v>118.46</v>
      </c>
      <c r="E30" s="24">
        <v>346.02</v>
      </c>
      <c r="F30" s="24">
        <v>355.38</v>
      </c>
      <c r="G30" s="24">
        <f t="shared" si="0"/>
        <v>701.4</v>
      </c>
      <c r="H30" s="23">
        <v>3</v>
      </c>
      <c r="I30" s="23">
        <v>127</v>
      </c>
      <c r="J30" s="25">
        <v>46176</v>
      </c>
      <c r="K30" s="23" t="s">
        <v>56</v>
      </c>
      <c r="L30" s="23" t="s">
        <v>11</v>
      </c>
      <c r="M30" s="24">
        <v>0</v>
      </c>
      <c r="N30" s="24">
        <f t="shared" si="1"/>
        <v>701.4</v>
      </c>
      <c r="O30" s="23" t="s">
        <v>67</v>
      </c>
      <c r="P30" s="26" t="s">
        <v>58</v>
      </c>
      <c r="Q30" s="26" t="s">
        <v>157</v>
      </c>
    </row>
    <row r="31" spans="1:17" x14ac:dyDescent="0.35">
      <c r="A31" s="39"/>
      <c r="B31" s="15" t="s">
        <v>158</v>
      </c>
      <c r="C31" s="39"/>
      <c r="D31" s="17">
        <f>SUM(D5:D30)</f>
        <v>59016.380000000005</v>
      </c>
      <c r="E31" s="17">
        <f>SUM(E5:E30)</f>
        <v>105157.81</v>
      </c>
      <c r="F31" s="17">
        <f>SUM(F5:F30)</f>
        <v>223122.45</v>
      </c>
      <c r="G31" s="17">
        <f>SUM(G5:G30)</f>
        <v>328280.26</v>
      </c>
      <c r="H31" s="39"/>
      <c r="I31" s="39"/>
      <c r="J31" s="39"/>
      <c r="K31" s="39"/>
      <c r="L31" s="39"/>
      <c r="M31" s="17">
        <f>SUM(M5:M30)</f>
        <v>44150.229999999996</v>
      </c>
      <c r="N31" s="17">
        <f>SUM(N5:N30)</f>
        <v>284130.02999999997</v>
      </c>
      <c r="O31" s="39"/>
      <c r="P31" s="39"/>
      <c r="Q31" s="39"/>
    </row>
    <row r="33" spans="1:12" x14ac:dyDescent="0.35">
      <c r="A33" s="1" t="s">
        <v>159</v>
      </c>
    </row>
    <row r="34" spans="1:12" x14ac:dyDescent="0.35">
      <c r="A34" s="3" t="s">
        <v>8</v>
      </c>
      <c r="B34" s="47" t="s">
        <v>160</v>
      </c>
      <c r="C34" s="44"/>
      <c r="D34" s="44"/>
      <c r="E34" s="44"/>
      <c r="F34" s="44"/>
      <c r="G34" s="44"/>
      <c r="H34" s="44"/>
    </row>
    <row r="35" spans="1:12" x14ac:dyDescent="0.35">
      <c r="A35" s="6" t="s">
        <v>9</v>
      </c>
      <c r="B35" s="47" t="s">
        <v>161</v>
      </c>
      <c r="C35" s="44"/>
      <c r="D35" s="44"/>
      <c r="E35" s="44"/>
      <c r="F35" s="44"/>
      <c r="G35" s="44"/>
      <c r="H35" s="44"/>
    </row>
    <row r="36" spans="1:12" x14ac:dyDescent="0.35">
      <c r="A36" s="9" t="s">
        <v>10</v>
      </c>
      <c r="B36" s="47" t="s">
        <v>162</v>
      </c>
      <c r="C36" s="44"/>
      <c r="D36" s="44"/>
      <c r="E36" s="44"/>
      <c r="F36" s="44"/>
      <c r="G36" s="44"/>
      <c r="H36" s="44"/>
    </row>
    <row r="37" spans="1:12" x14ac:dyDescent="0.35">
      <c r="A37" s="12" t="s">
        <v>11</v>
      </c>
      <c r="B37" s="47" t="s">
        <v>163</v>
      </c>
      <c r="C37" s="44"/>
      <c r="D37" s="44"/>
      <c r="E37" s="44"/>
      <c r="F37" s="44"/>
      <c r="G37" s="44"/>
      <c r="H37" s="44"/>
    </row>
    <row r="39" spans="1:12" x14ac:dyDescent="0.35">
      <c r="A39" s="43" t="s">
        <v>164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</row>
  </sheetData>
  <autoFilter ref="A4:Q30" xr:uid="{00000000-0009-0000-0000-000001000000}"/>
  <mergeCells count="7">
    <mergeCell ref="A1:Q1"/>
    <mergeCell ref="B36:H36"/>
    <mergeCell ref="A39:L39"/>
    <mergeCell ref="B35:H35"/>
    <mergeCell ref="A2:Q2"/>
    <mergeCell ref="B37:H37"/>
    <mergeCell ref="B34:H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" customWidth="1"/>
    <col min="2" max="2" width="40" customWidth="1"/>
    <col min="3" max="3" width="17" customWidth="1"/>
    <col min="4" max="4" width="20" customWidth="1"/>
    <col min="5" max="6" width="15" customWidth="1"/>
    <col min="7" max="7" width="34" customWidth="1"/>
    <col min="8" max="8" width="14" customWidth="1"/>
    <col min="9" max="9" width="12" customWidth="1"/>
    <col min="10" max="10" width="40" customWidth="1"/>
    <col min="11" max="11" width="60" customWidth="1"/>
    <col min="12" max="12" width="55" customWidth="1"/>
  </cols>
  <sheetData>
    <row r="1" spans="1:12" ht="22" customHeight="1" x14ac:dyDescent="0.4">
      <c r="A1" s="46" t="s">
        <v>165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x14ac:dyDescent="0.35">
      <c r="A2" s="43" t="s">
        <v>166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ht="6" customHeight="1" x14ac:dyDescent="0.35"/>
    <row r="4" spans="1:12" ht="30" customHeight="1" x14ac:dyDescent="0.35">
      <c r="A4" s="2" t="s">
        <v>40</v>
      </c>
      <c r="B4" s="2" t="s">
        <v>41</v>
      </c>
      <c r="C4" s="2" t="s">
        <v>42</v>
      </c>
      <c r="D4" s="2" t="s">
        <v>167</v>
      </c>
      <c r="E4" s="2" t="s">
        <v>27</v>
      </c>
      <c r="F4" s="2" t="s">
        <v>168</v>
      </c>
      <c r="G4" s="2" t="s">
        <v>169</v>
      </c>
      <c r="H4" s="2" t="s">
        <v>28</v>
      </c>
      <c r="I4" s="2" t="s">
        <v>170</v>
      </c>
      <c r="J4" s="2" t="s">
        <v>171</v>
      </c>
      <c r="K4" s="2" t="s">
        <v>172</v>
      </c>
      <c r="L4" s="2" t="s">
        <v>173</v>
      </c>
    </row>
    <row r="5" spans="1:12" ht="37.5" x14ac:dyDescent="0.35">
      <c r="A5" s="40" t="s">
        <v>174</v>
      </c>
      <c r="B5" s="40" t="s">
        <v>175</v>
      </c>
      <c r="C5" s="40" t="s">
        <v>55</v>
      </c>
      <c r="D5" s="40" t="s">
        <v>176</v>
      </c>
      <c r="E5" s="41">
        <v>4594.51</v>
      </c>
      <c r="F5" s="40" t="s">
        <v>177</v>
      </c>
      <c r="G5" s="40" t="s">
        <v>30</v>
      </c>
      <c r="H5" s="41">
        <v>0</v>
      </c>
      <c r="I5" s="40" t="s">
        <v>56</v>
      </c>
      <c r="J5" s="40" t="s">
        <v>178</v>
      </c>
      <c r="K5" s="42"/>
      <c r="L5" s="42" t="s">
        <v>179</v>
      </c>
    </row>
    <row r="6" spans="1:12" ht="50" x14ac:dyDescent="0.35">
      <c r="A6" s="35" t="s">
        <v>180</v>
      </c>
      <c r="B6" s="35" t="s">
        <v>181</v>
      </c>
      <c r="C6" s="35" t="s">
        <v>55</v>
      </c>
      <c r="D6" s="35" t="s">
        <v>176</v>
      </c>
      <c r="E6" s="36">
        <v>4248.62</v>
      </c>
      <c r="F6" s="35" t="s">
        <v>177</v>
      </c>
      <c r="G6" s="35" t="s">
        <v>29</v>
      </c>
      <c r="H6" s="36">
        <v>15000</v>
      </c>
      <c r="I6" s="35" t="s">
        <v>66</v>
      </c>
      <c r="J6" s="35" t="s">
        <v>182</v>
      </c>
      <c r="K6" s="38" t="s">
        <v>183</v>
      </c>
      <c r="L6" s="38" t="s">
        <v>184</v>
      </c>
    </row>
    <row r="7" spans="1:12" ht="25" x14ac:dyDescent="0.35">
      <c r="A7" s="40" t="s">
        <v>185</v>
      </c>
      <c r="B7" s="40" t="s">
        <v>186</v>
      </c>
      <c r="C7" s="40" t="s">
        <v>55</v>
      </c>
      <c r="D7" s="40" t="s">
        <v>176</v>
      </c>
      <c r="E7" s="41">
        <v>3927.73</v>
      </c>
      <c r="F7" s="40" t="s">
        <v>177</v>
      </c>
      <c r="G7" s="40" t="s">
        <v>34</v>
      </c>
      <c r="H7" s="41">
        <v>0</v>
      </c>
      <c r="I7" s="40" t="s">
        <v>56</v>
      </c>
      <c r="J7" s="40" t="s">
        <v>187</v>
      </c>
      <c r="K7" s="42"/>
      <c r="L7" s="42" t="s">
        <v>184</v>
      </c>
    </row>
    <row r="8" spans="1:12" ht="25" x14ac:dyDescent="0.35">
      <c r="A8" s="40" t="s">
        <v>188</v>
      </c>
      <c r="B8" s="40" t="s">
        <v>189</v>
      </c>
      <c r="C8" s="40" t="s">
        <v>55</v>
      </c>
      <c r="D8" s="40" t="s">
        <v>176</v>
      </c>
      <c r="E8" s="41">
        <v>2581.48</v>
      </c>
      <c r="F8" s="40" t="s">
        <v>177</v>
      </c>
      <c r="G8" s="40" t="s">
        <v>29</v>
      </c>
      <c r="H8" s="41">
        <v>0</v>
      </c>
      <c r="I8" s="40" t="s">
        <v>56</v>
      </c>
      <c r="J8" s="40" t="s">
        <v>182</v>
      </c>
      <c r="K8" s="42"/>
      <c r="L8" s="42" t="s">
        <v>190</v>
      </c>
    </row>
    <row r="9" spans="1:12" ht="25" x14ac:dyDescent="0.35">
      <c r="A9" s="40" t="s">
        <v>191</v>
      </c>
      <c r="B9" s="40" t="s">
        <v>192</v>
      </c>
      <c r="C9" s="40" t="s">
        <v>75</v>
      </c>
      <c r="D9" s="40" t="s">
        <v>176</v>
      </c>
      <c r="E9" s="41">
        <v>2542.4</v>
      </c>
      <c r="F9" s="40" t="s">
        <v>177</v>
      </c>
      <c r="G9" s="40" t="s">
        <v>29</v>
      </c>
      <c r="H9" s="41">
        <v>0</v>
      </c>
      <c r="I9" s="40" t="s">
        <v>56</v>
      </c>
      <c r="J9" s="40" t="s">
        <v>182</v>
      </c>
      <c r="K9" s="42"/>
      <c r="L9" s="42" t="s">
        <v>193</v>
      </c>
    </row>
    <row r="10" spans="1:12" ht="25" x14ac:dyDescent="0.35">
      <c r="A10" s="40" t="s">
        <v>194</v>
      </c>
      <c r="B10" s="40" t="s">
        <v>195</v>
      </c>
      <c r="C10" s="40" t="s">
        <v>75</v>
      </c>
      <c r="D10" s="40" t="s">
        <v>176</v>
      </c>
      <c r="E10" s="41">
        <v>2217.92</v>
      </c>
      <c r="F10" s="40" t="s">
        <v>177</v>
      </c>
      <c r="G10" s="40" t="s">
        <v>31</v>
      </c>
      <c r="H10" s="41">
        <v>0</v>
      </c>
      <c r="I10" s="40" t="s">
        <v>56</v>
      </c>
      <c r="J10" s="40" t="s">
        <v>31</v>
      </c>
      <c r="K10" s="42"/>
      <c r="L10" s="42" t="s">
        <v>196</v>
      </c>
    </row>
    <row r="11" spans="1:12" ht="25" x14ac:dyDescent="0.35">
      <c r="A11" s="40" t="s">
        <v>197</v>
      </c>
      <c r="B11" s="40" t="s">
        <v>198</v>
      </c>
      <c r="C11" s="40" t="s">
        <v>55</v>
      </c>
      <c r="D11" s="40" t="s">
        <v>176</v>
      </c>
      <c r="E11" s="41">
        <v>2144.87</v>
      </c>
      <c r="F11" s="40" t="s">
        <v>177</v>
      </c>
      <c r="G11" s="40" t="s">
        <v>31</v>
      </c>
      <c r="H11" s="41">
        <v>0</v>
      </c>
      <c r="I11" s="40" t="s">
        <v>56</v>
      </c>
      <c r="J11" s="40" t="s">
        <v>31</v>
      </c>
      <c r="K11" s="42"/>
      <c r="L11" s="42" t="s">
        <v>184</v>
      </c>
    </row>
    <row r="12" spans="1:12" ht="25" x14ac:dyDescent="0.35">
      <c r="A12" s="40" t="s">
        <v>199</v>
      </c>
      <c r="B12" s="40" t="s">
        <v>200</v>
      </c>
      <c r="C12" s="40" t="s">
        <v>75</v>
      </c>
      <c r="D12" s="40" t="s">
        <v>176</v>
      </c>
      <c r="E12" s="41">
        <v>1950</v>
      </c>
      <c r="F12" s="40" t="s">
        <v>177</v>
      </c>
      <c r="G12" s="40" t="s">
        <v>30</v>
      </c>
      <c r="H12" s="41">
        <v>0</v>
      </c>
      <c r="I12" s="40" t="s">
        <v>56</v>
      </c>
      <c r="J12" s="40" t="s">
        <v>178</v>
      </c>
      <c r="K12" s="42"/>
      <c r="L12" s="42" t="s">
        <v>190</v>
      </c>
    </row>
    <row r="13" spans="1:12" x14ac:dyDescent="0.35">
      <c r="A13" s="40" t="s">
        <v>201</v>
      </c>
      <c r="B13" s="40" t="s">
        <v>202</v>
      </c>
      <c r="C13" s="40" t="s">
        <v>55</v>
      </c>
      <c r="D13" s="40" t="s">
        <v>176</v>
      </c>
      <c r="E13" s="41">
        <v>1890.33</v>
      </c>
      <c r="F13" s="40" t="s">
        <v>177</v>
      </c>
      <c r="G13" s="40" t="s">
        <v>33</v>
      </c>
      <c r="H13" s="41">
        <v>0</v>
      </c>
      <c r="I13" s="40" t="s">
        <v>56</v>
      </c>
      <c r="J13" s="40" t="s">
        <v>203</v>
      </c>
      <c r="K13" s="42"/>
      <c r="L13" s="42" t="s">
        <v>204</v>
      </c>
    </row>
    <row r="14" spans="1:12" ht="50" x14ac:dyDescent="0.35">
      <c r="A14" s="40" t="s">
        <v>205</v>
      </c>
      <c r="B14" s="40" t="s">
        <v>206</v>
      </c>
      <c r="C14" s="40" t="s">
        <v>55</v>
      </c>
      <c r="D14" s="40" t="s">
        <v>176</v>
      </c>
      <c r="E14" s="41">
        <v>1654.4</v>
      </c>
      <c r="F14" s="40" t="s">
        <v>177</v>
      </c>
      <c r="G14" s="40" t="s">
        <v>33</v>
      </c>
      <c r="H14" s="41">
        <v>0</v>
      </c>
      <c r="I14" s="40" t="s">
        <v>56</v>
      </c>
      <c r="J14" s="40" t="s">
        <v>203</v>
      </c>
      <c r="K14" s="42"/>
      <c r="L14" s="42" t="s">
        <v>207</v>
      </c>
    </row>
    <row r="15" spans="1:12" ht="25" x14ac:dyDescent="0.35">
      <c r="A15" s="35" t="s">
        <v>208</v>
      </c>
      <c r="B15" s="35" t="s">
        <v>181</v>
      </c>
      <c r="C15" s="35" t="s">
        <v>209</v>
      </c>
      <c r="D15" s="35" t="s">
        <v>176</v>
      </c>
      <c r="E15" s="36">
        <v>1647.5</v>
      </c>
      <c r="F15" s="35" t="s">
        <v>177</v>
      </c>
      <c r="G15" s="35" t="s">
        <v>29</v>
      </c>
      <c r="H15" s="36">
        <v>0</v>
      </c>
      <c r="I15" s="35" t="s">
        <v>66</v>
      </c>
      <c r="J15" s="35" t="s">
        <v>182</v>
      </c>
      <c r="K15" s="38" t="s">
        <v>210</v>
      </c>
      <c r="L15" s="38" t="s">
        <v>190</v>
      </c>
    </row>
    <row r="16" spans="1:12" x14ac:dyDescent="0.35">
      <c r="A16" s="40" t="s">
        <v>211</v>
      </c>
      <c r="B16" s="40" t="s">
        <v>212</v>
      </c>
      <c r="C16" s="40" t="s">
        <v>55</v>
      </c>
      <c r="D16" s="40" t="s">
        <v>176</v>
      </c>
      <c r="E16" s="41">
        <v>1597.39</v>
      </c>
      <c r="F16" s="40" t="s">
        <v>213</v>
      </c>
      <c r="G16" s="40" t="s">
        <v>32</v>
      </c>
      <c r="H16" s="41">
        <v>0</v>
      </c>
      <c r="I16" s="40" t="s">
        <v>56</v>
      </c>
      <c r="J16" s="40" t="s">
        <v>214</v>
      </c>
      <c r="K16" s="42"/>
      <c r="L16" s="42" t="s">
        <v>215</v>
      </c>
    </row>
    <row r="17" spans="1:12" x14ac:dyDescent="0.35">
      <c r="A17" s="40" t="s">
        <v>216</v>
      </c>
      <c r="B17" s="40" t="s">
        <v>217</v>
      </c>
      <c r="C17" s="40" t="s">
        <v>75</v>
      </c>
      <c r="D17" s="40" t="s">
        <v>176</v>
      </c>
      <c r="E17" s="41">
        <v>1422.9</v>
      </c>
      <c r="F17" s="40" t="s">
        <v>177</v>
      </c>
      <c r="G17" s="40" t="s">
        <v>30</v>
      </c>
      <c r="H17" s="41">
        <v>0</v>
      </c>
      <c r="I17" s="40" t="s">
        <v>56</v>
      </c>
      <c r="J17" s="40" t="s">
        <v>178</v>
      </c>
      <c r="K17" s="42"/>
      <c r="L17" s="42" t="s">
        <v>204</v>
      </c>
    </row>
    <row r="18" spans="1:12" x14ac:dyDescent="0.35">
      <c r="A18" s="40" t="s">
        <v>218</v>
      </c>
      <c r="B18" s="40" t="s">
        <v>219</v>
      </c>
      <c r="C18" s="40" t="s">
        <v>75</v>
      </c>
      <c r="D18" s="40" t="s">
        <v>176</v>
      </c>
      <c r="E18" s="41">
        <v>1202.27</v>
      </c>
      <c r="F18" s="40" t="s">
        <v>213</v>
      </c>
      <c r="G18" s="40" t="s">
        <v>32</v>
      </c>
      <c r="H18" s="41">
        <v>0</v>
      </c>
      <c r="I18" s="40" t="s">
        <v>56</v>
      </c>
      <c r="J18" s="40" t="s">
        <v>220</v>
      </c>
      <c r="K18" s="42"/>
      <c r="L18" s="42" t="s">
        <v>221</v>
      </c>
    </row>
    <row r="19" spans="1:12" ht="25" x14ac:dyDescent="0.35">
      <c r="A19" s="40" t="s">
        <v>222</v>
      </c>
      <c r="B19" s="40" t="s">
        <v>223</v>
      </c>
      <c r="C19" s="40" t="s">
        <v>209</v>
      </c>
      <c r="D19" s="40" t="s">
        <v>176</v>
      </c>
      <c r="E19" s="41">
        <v>1201.6199999999999</v>
      </c>
      <c r="F19" s="40" t="s">
        <v>177</v>
      </c>
      <c r="G19" s="40" t="s">
        <v>31</v>
      </c>
      <c r="H19" s="41">
        <v>0</v>
      </c>
      <c r="I19" s="40" t="s">
        <v>56</v>
      </c>
      <c r="J19" s="40" t="s">
        <v>31</v>
      </c>
      <c r="K19" s="42"/>
      <c r="L19" s="42" t="s">
        <v>224</v>
      </c>
    </row>
    <row r="20" spans="1:12" x14ac:dyDescent="0.35">
      <c r="A20" s="40" t="s">
        <v>225</v>
      </c>
      <c r="B20" s="40" t="s">
        <v>226</v>
      </c>
      <c r="C20" s="40" t="s">
        <v>75</v>
      </c>
      <c r="D20" s="40" t="s">
        <v>176</v>
      </c>
      <c r="E20" s="41">
        <v>1200</v>
      </c>
      <c r="F20" s="40" t="s">
        <v>177</v>
      </c>
      <c r="G20" s="40" t="s">
        <v>33</v>
      </c>
      <c r="H20" s="41">
        <v>0</v>
      </c>
      <c r="I20" s="40" t="s">
        <v>56</v>
      </c>
      <c r="J20" s="40" t="s">
        <v>203</v>
      </c>
      <c r="K20" s="42"/>
      <c r="L20" s="42" t="s">
        <v>204</v>
      </c>
    </row>
    <row r="21" spans="1:12" x14ac:dyDescent="0.35">
      <c r="A21" s="40" t="s">
        <v>227</v>
      </c>
      <c r="B21" s="40" t="s">
        <v>228</v>
      </c>
      <c r="C21" s="40" t="s">
        <v>75</v>
      </c>
      <c r="D21" s="40" t="s">
        <v>176</v>
      </c>
      <c r="E21" s="41">
        <v>950</v>
      </c>
      <c r="F21" s="40" t="s">
        <v>213</v>
      </c>
      <c r="G21" s="40" t="s">
        <v>30</v>
      </c>
      <c r="H21" s="41">
        <v>0</v>
      </c>
      <c r="I21" s="40" t="s">
        <v>56</v>
      </c>
      <c r="J21" s="40" t="s">
        <v>229</v>
      </c>
      <c r="K21" s="42"/>
      <c r="L21" s="42" t="s">
        <v>215</v>
      </c>
    </row>
    <row r="22" spans="1:12" x14ac:dyDescent="0.35">
      <c r="A22" s="40" t="s">
        <v>230</v>
      </c>
      <c r="B22" s="40" t="s">
        <v>231</v>
      </c>
      <c r="C22" s="40" t="s">
        <v>75</v>
      </c>
      <c r="D22" s="40" t="s">
        <v>176</v>
      </c>
      <c r="E22" s="41">
        <v>924.66</v>
      </c>
      <c r="F22" s="40" t="s">
        <v>232</v>
      </c>
      <c r="G22" s="40" t="s">
        <v>32</v>
      </c>
      <c r="H22" s="41">
        <v>0</v>
      </c>
      <c r="I22" s="40" t="s">
        <v>56</v>
      </c>
      <c r="J22" s="40" t="s">
        <v>233</v>
      </c>
      <c r="K22" s="42"/>
      <c r="L22" s="42" t="s">
        <v>234</v>
      </c>
    </row>
    <row r="23" spans="1:12" ht="25" x14ac:dyDescent="0.35">
      <c r="A23" s="40" t="s">
        <v>235</v>
      </c>
      <c r="B23" s="40" t="s">
        <v>236</v>
      </c>
      <c r="C23" s="40" t="s">
        <v>75</v>
      </c>
      <c r="D23" s="40" t="s">
        <v>176</v>
      </c>
      <c r="E23" s="41">
        <v>896</v>
      </c>
      <c r="F23" s="40" t="s">
        <v>177</v>
      </c>
      <c r="G23" s="40" t="s">
        <v>31</v>
      </c>
      <c r="H23" s="41">
        <v>0</v>
      </c>
      <c r="I23" s="40" t="s">
        <v>56</v>
      </c>
      <c r="J23" s="40" t="s">
        <v>31</v>
      </c>
      <c r="K23" s="42"/>
      <c r="L23" s="42" t="s">
        <v>237</v>
      </c>
    </row>
    <row r="24" spans="1:12" ht="37.5" x14ac:dyDescent="0.35">
      <c r="A24" s="40" t="s">
        <v>238</v>
      </c>
      <c r="B24" s="40" t="s">
        <v>239</v>
      </c>
      <c r="C24" s="40" t="s">
        <v>75</v>
      </c>
      <c r="D24" s="40" t="s">
        <v>176</v>
      </c>
      <c r="E24" s="41">
        <v>780.82</v>
      </c>
      <c r="F24" s="40" t="s">
        <v>177</v>
      </c>
      <c r="G24" s="40" t="s">
        <v>33</v>
      </c>
      <c r="H24" s="41">
        <v>0</v>
      </c>
      <c r="I24" s="40" t="s">
        <v>56</v>
      </c>
      <c r="J24" s="40" t="s">
        <v>203</v>
      </c>
      <c r="K24" s="42"/>
      <c r="L24" s="42" t="s">
        <v>240</v>
      </c>
    </row>
    <row r="25" spans="1:12" ht="25" x14ac:dyDescent="0.35">
      <c r="A25" s="40" t="s">
        <v>241</v>
      </c>
      <c r="B25" s="40" t="s">
        <v>242</v>
      </c>
      <c r="C25" s="40" t="s">
        <v>75</v>
      </c>
      <c r="D25" s="40" t="s">
        <v>176</v>
      </c>
      <c r="E25" s="41">
        <v>702.06</v>
      </c>
      <c r="F25" s="40" t="s">
        <v>177</v>
      </c>
      <c r="G25" s="40" t="s">
        <v>32</v>
      </c>
      <c r="H25" s="41">
        <v>0</v>
      </c>
      <c r="I25" s="40" t="s">
        <v>56</v>
      </c>
      <c r="J25" s="40" t="s">
        <v>243</v>
      </c>
      <c r="K25" s="42"/>
      <c r="L25" s="42" t="s">
        <v>244</v>
      </c>
    </row>
    <row r="26" spans="1:12" x14ac:dyDescent="0.35">
      <c r="A26" s="40" t="s">
        <v>245</v>
      </c>
      <c r="B26" s="40" t="s">
        <v>246</v>
      </c>
      <c r="C26" s="40" t="s">
        <v>75</v>
      </c>
      <c r="D26" s="40" t="s">
        <v>176</v>
      </c>
      <c r="E26" s="41">
        <v>700</v>
      </c>
      <c r="F26" s="40" t="s">
        <v>213</v>
      </c>
      <c r="G26" s="40" t="s">
        <v>35</v>
      </c>
      <c r="H26" s="41">
        <v>0</v>
      </c>
      <c r="I26" s="40" t="s">
        <v>56</v>
      </c>
      <c r="J26" s="40" t="s">
        <v>247</v>
      </c>
      <c r="K26" s="42"/>
      <c r="L26" s="42" t="s">
        <v>215</v>
      </c>
    </row>
    <row r="27" spans="1:12" x14ac:dyDescent="0.35">
      <c r="A27" s="40" t="s">
        <v>248</v>
      </c>
      <c r="B27" s="40" t="s">
        <v>249</v>
      </c>
      <c r="C27" s="40" t="s">
        <v>75</v>
      </c>
      <c r="D27" s="40" t="s">
        <v>176</v>
      </c>
      <c r="E27" s="41">
        <v>590</v>
      </c>
      <c r="F27" s="40" t="s">
        <v>213</v>
      </c>
      <c r="G27" s="40" t="s">
        <v>32</v>
      </c>
      <c r="H27" s="41">
        <v>0</v>
      </c>
      <c r="I27" s="40" t="s">
        <v>56</v>
      </c>
      <c r="J27" s="40" t="s">
        <v>250</v>
      </c>
      <c r="K27" s="42"/>
      <c r="L27" s="42" t="s">
        <v>215</v>
      </c>
    </row>
    <row r="28" spans="1:12" ht="25" x14ac:dyDescent="0.35">
      <c r="A28" s="40" t="s">
        <v>251</v>
      </c>
      <c r="B28" s="40" t="s">
        <v>252</v>
      </c>
      <c r="C28" s="40" t="s">
        <v>75</v>
      </c>
      <c r="D28" s="40" t="s">
        <v>176</v>
      </c>
      <c r="E28" s="41">
        <v>550</v>
      </c>
      <c r="F28" s="40" t="s">
        <v>177</v>
      </c>
      <c r="G28" s="40" t="s">
        <v>31</v>
      </c>
      <c r="H28" s="41">
        <v>0</v>
      </c>
      <c r="I28" s="40" t="s">
        <v>56</v>
      </c>
      <c r="J28" s="40" t="s">
        <v>31</v>
      </c>
      <c r="K28" s="42"/>
      <c r="L28" s="42" t="s">
        <v>184</v>
      </c>
    </row>
    <row r="29" spans="1:12" ht="37.5" x14ac:dyDescent="0.35">
      <c r="A29" s="40" t="s">
        <v>253</v>
      </c>
      <c r="B29" s="40" t="s">
        <v>254</v>
      </c>
      <c r="C29" s="40" t="s">
        <v>75</v>
      </c>
      <c r="D29" s="40" t="s">
        <v>176</v>
      </c>
      <c r="E29" s="41">
        <v>549.62</v>
      </c>
      <c r="F29" s="40" t="s">
        <v>177</v>
      </c>
      <c r="G29" s="40" t="s">
        <v>32</v>
      </c>
      <c r="H29" s="41">
        <v>0</v>
      </c>
      <c r="I29" s="40" t="s">
        <v>56</v>
      </c>
      <c r="J29" s="40" t="s">
        <v>243</v>
      </c>
      <c r="K29" s="42"/>
      <c r="L29" s="42" t="s">
        <v>255</v>
      </c>
    </row>
    <row r="30" spans="1:12" ht="25" x14ac:dyDescent="0.35">
      <c r="A30" s="40" t="s">
        <v>256</v>
      </c>
      <c r="B30" s="40" t="s">
        <v>257</v>
      </c>
      <c r="C30" s="40" t="s">
        <v>75</v>
      </c>
      <c r="D30" s="40" t="s">
        <v>176</v>
      </c>
      <c r="E30" s="41">
        <v>528.11</v>
      </c>
      <c r="F30" s="40" t="s">
        <v>177</v>
      </c>
      <c r="G30" s="40" t="s">
        <v>34</v>
      </c>
      <c r="H30" s="41">
        <v>0</v>
      </c>
      <c r="I30" s="40" t="s">
        <v>56</v>
      </c>
      <c r="J30" s="40" t="s">
        <v>187</v>
      </c>
      <c r="K30" s="42"/>
      <c r="L30" s="42" t="s">
        <v>258</v>
      </c>
    </row>
    <row r="31" spans="1:12" x14ac:dyDescent="0.35">
      <c r="A31" s="40" t="s">
        <v>259</v>
      </c>
      <c r="B31" s="40" t="s">
        <v>260</v>
      </c>
      <c r="C31" s="40" t="s">
        <v>75</v>
      </c>
      <c r="D31" s="40" t="s">
        <v>176</v>
      </c>
      <c r="E31" s="41">
        <v>422.4</v>
      </c>
      <c r="F31" s="40" t="s">
        <v>213</v>
      </c>
      <c r="G31" s="40" t="s">
        <v>32</v>
      </c>
      <c r="H31" s="41">
        <v>0</v>
      </c>
      <c r="I31" s="40" t="s">
        <v>56</v>
      </c>
      <c r="J31" s="40" t="s">
        <v>261</v>
      </c>
      <c r="K31" s="42"/>
      <c r="L31" s="42" t="s">
        <v>215</v>
      </c>
    </row>
    <row r="32" spans="1:12" ht="25" x14ac:dyDescent="0.35">
      <c r="A32" s="40" t="s">
        <v>262</v>
      </c>
      <c r="B32" s="40" t="s">
        <v>263</v>
      </c>
      <c r="C32" s="40" t="s">
        <v>75</v>
      </c>
      <c r="D32" s="40" t="s">
        <v>176</v>
      </c>
      <c r="E32" s="41">
        <v>410.95</v>
      </c>
      <c r="F32" s="40" t="s">
        <v>177</v>
      </c>
      <c r="G32" s="40" t="s">
        <v>31</v>
      </c>
      <c r="H32" s="41">
        <v>0</v>
      </c>
      <c r="I32" s="40" t="s">
        <v>56</v>
      </c>
      <c r="J32" s="40" t="s">
        <v>31</v>
      </c>
      <c r="K32" s="42"/>
      <c r="L32" s="42" t="s">
        <v>264</v>
      </c>
    </row>
    <row r="33" spans="1:12" x14ac:dyDescent="0.35">
      <c r="A33" s="39"/>
      <c r="B33" s="15" t="s">
        <v>158</v>
      </c>
      <c r="C33" s="39"/>
      <c r="D33" s="39"/>
      <c r="E33" s="17">
        <f>SUM(E5:E32)</f>
        <v>44028.560000000005</v>
      </c>
      <c r="F33" s="39"/>
      <c r="G33" s="39"/>
      <c r="H33" s="17">
        <f>SUM(H5:H32)</f>
        <v>15000</v>
      </c>
      <c r="I33" s="39"/>
      <c r="J33" s="39"/>
      <c r="K33" s="39"/>
      <c r="L33" s="39"/>
    </row>
    <row r="35" spans="1:12" x14ac:dyDescent="0.35">
      <c r="A35" s="43" t="s">
        <v>265</v>
      </c>
      <c r="B35" s="44"/>
      <c r="C35" s="44"/>
      <c r="D35" s="44"/>
      <c r="E35" s="44"/>
      <c r="F35" s="44"/>
      <c r="G35" s="44"/>
      <c r="H35" s="44"/>
      <c r="I35" s="44"/>
      <c r="J35" s="44"/>
    </row>
  </sheetData>
  <autoFilter ref="A4:L32" xr:uid="{00000000-0009-0000-0000-000002000000}"/>
  <mergeCells count="3">
    <mergeCell ref="A2:L2"/>
    <mergeCell ref="A1:L1"/>
    <mergeCell ref="A35:J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Inadimplencia</vt:lpstr>
      <vt:lpstr>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Julio Santos</cp:lastModifiedBy>
  <dcterms:created xsi:type="dcterms:W3CDTF">2026-09-16T20:35:32Z</dcterms:created>
  <dcterms:modified xsi:type="dcterms:W3CDTF">2026-09-16T20:35:41Z</dcterms:modified>
</cp:coreProperties>
</file>